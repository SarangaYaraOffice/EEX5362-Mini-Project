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37EEA53-CD5C-4B7D-B028-A57FF0F52AF4}" xr6:coauthVersionLast="47" xr6:coauthVersionMax="47" xr10:uidLastSave="{00000000-0000-0000-0000-000000000000}"/>
  <bookViews>
    <workbookView xWindow="-120" yWindow="-120" windowWidth="29040" windowHeight="15840" tabRatio="742" activeTab="1" xr2:uid="{00000000-000D-0000-FFFF-FFFF00000000}"/>
  </bookViews>
  <sheets>
    <sheet name="Sheet1" sheetId="1" r:id="rId1"/>
    <sheet name="Heatmap of Delay Levels" sheetId="10" r:id="rId2"/>
    <sheet name="Vehicle Utilisation Chart" sheetId="9" r:id="rId3"/>
    <sheet name="Cost vs Distance Line Graph" sheetId="8" r:id="rId4"/>
    <sheet name="Delivery Delays by Weather Type" sheetId="7" r:id="rId5"/>
    <sheet name="Fuel Consumption per Kilometre " sheetId="4" r:id="rId6"/>
    <sheet name="On-Time vs Delayed Deliveries" sheetId="5" r:id="rId7"/>
    <sheet name="Delivery Time vs Distance Chart" sheetId="2" r:id="rId8"/>
  </sheets>
  <definedNames>
    <definedName name="_xlnm._FilterDatabase" localSheetId="7" hidden="1">'Delivery Time vs Distance Chart'!$B$1:$C$301</definedName>
  </definedNames>
  <calcPr calcId="191029"/>
  <pivotCaches>
    <pivotCache cacheId="9" r:id="rId9"/>
    <pivotCache cacheId="29" r:id="rId10"/>
    <pivotCache cacheId="6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0" l="1"/>
  <c r="D6" i="10"/>
  <c r="D3" i="10"/>
  <c r="D4" i="10"/>
  <c r="D5" i="10"/>
  <c r="D2" i="10"/>
  <c r="E5" i="5"/>
  <c r="E4" i="5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2" i="1"/>
</calcChain>
</file>

<file path=xl/sharedStrings.xml><?xml version="1.0" encoding="utf-8"?>
<sst xmlns="http://schemas.openxmlformats.org/spreadsheetml/2006/main" count="4256" uniqueCount="1225">
  <si>
    <t>Delivery_ID</t>
  </si>
  <si>
    <t>Company_Name</t>
  </si>
  <si>
    <t>Product_Type</t>
  </si>
  <si>
    <t>Vehicle_ID</t>
  </si>
  <si>
    <t>Driver_Name</t>
  </si>
  <si>
    <t>Source_Location</t>
  </si>
  <si>
    <t>Destination</t>
  </si>
  <si>
    <t>Distance_km</t>
  </si>
  <si>
    <t>Delivery_Start</t>
  </si>
  <si>
    <t>Delivery_End</t>
  </si>
  <si>
    <t>Fuel_Used_Liters</t>
  </si>
  <si>
    <t>Delivery_Time_Min</t>
  </si>
  <si>
    <t>Avg_Speed_kmph</t>
  </si>
  <si>
    <t>Weather</t>
  </si>
  <si>
    <t>Delay_Min</t>
  </si>
  <si>
    <t>Delivery_Status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</si>
  <si>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</si>
  <si>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</si>
  <si>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</si>
  <si>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</si>
  <si>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</si>
  <si>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</si>
  <si>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</si>
  <si>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</si>
  <si>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</si>
  <si>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</si>
  <si>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</si>
  <si>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</si>
  <si>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</si>
  <si>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</si>
  <si>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</si>
  <si>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</si>
  <si>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</si>
  <si>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</si>
  <si>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</si>
  <si>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</si>
  <si>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</si>
  <si>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</si>
  <si>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</si>
  <si>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</si>
  <si>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</si>
  <si>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</si>
  <si>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</si>
  <si>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</si>
  <si>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</si>
  <si>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</si>
  <si>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</si>
  <si>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</si>
  <si>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</si>
  <si>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</si>
  <si>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</si>
  <si>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</si>
  <si>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</si>
  <si>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</si>
  <si>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</si>
  <si>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</si>
  <si>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</si>
  <si>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</si>
  <si>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</si>
  <si>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</si>
  <si>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</si>
  <si>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</si>
  <si>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</si>
  <si>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</si>
  <si>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</si>
  <si>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</si>
  <si>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</si>
  <si>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</si>
  <si>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</si>
  <si>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</si>
  <si>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</si>
  <si>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</si>
  <si>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</si>
  <si>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</si>
  <si>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</si>
  <si>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</si>
  <si>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</si>
  <si>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</si>
  <si>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</si>
  <si>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</si>
  <si>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</si>
  <si>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</si>
  <si>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</si>
  <si>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</si>
  <si>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</si>
  <si>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</si>
  <si>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</si>
  <si>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</si>
  <si>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</si>
  <si>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</si>
  <si>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</si>
  <si>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</si>
  <si>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</si>
  <si>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</si>
  <si>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</si>
  <si>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</si>
  <si>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</si>
  <si>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</si>
  <si>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</si>
  <si>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</si>
  <si>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</si>
  <si>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</si>
  <si>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</si>
  <si>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</si>
  <si>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</si>
  <si>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</si>
  <si>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</si>
  <si>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</si>
  <si>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</si>
  <si>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</si>
  <si>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</si>
  <si>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</si>
  <si>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</si>
  <si>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</si>
  <si>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</si>
  <si>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</si>
  <si>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</si>
  <si>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</si>
  <si>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</si>
  <si>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</si>
  <si>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</si>
  <si>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</si>
  <si>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</si>
  <si>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</si>
  <si>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</si>
  <si>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</si>
  <si>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</si>
  <si>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</si>
  <si>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</si>
  <si>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</si>
  <si>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</si>
  <si>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</si>
  <si>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</si>
  <si>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</si>
  <si>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</si>
  <si>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</si>
  <si>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</si>
  <si>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</si>
  <si>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</si>
  <si>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</si>
  <si>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</si>
  <si>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</si>
  <si>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</si>
  <si>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</si>
  <si>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</si>
  <si>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</si>
  <si>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</si>
  <si>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</si>
  <si>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</si>
  <si>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</si>
  <si>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</si>
  <si>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</si>
  <si>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</si>
  <si>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</si>
  <si>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</si>
  <si>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</si>
  <si>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</si>
  <si>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</si>
  <si>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</si>
  <si>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</si>
  <si>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</si>
  <si>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</si>
  <si>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</si>
  <si>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</si>
  <si>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</si>
  <si>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</si>
  <si>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</si>
  <si>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</si>
  <si>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</si>
  <si>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</si>
  <si>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</si>
  <si>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</si>
  <si>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</si>
  <si>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</si>
  <si>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</si>
  <si>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</si>
  <si>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</si>
  <si>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</si>
  <si>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</si>
  <si>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</si>
  <si>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</si>
  <si>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</si>
  <si>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</si>
  <si>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</si>
  <si>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</si>
  <si>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</si>
  <si>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</si>
  <si>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</si>
  <si>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</si>
  <si>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</si>
  <si>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</si>
  <si>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</si>
  <si>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</si>
  <si>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</si>
  <si>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</si>
  <si>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</si>
  <si>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</si>
  <si>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</si>
  <si>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</si>
  <si>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</si>
  <si>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</si>
  <si>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</si>
  <si>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</si>
  <si>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</si>
  <si>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</si>
  <si>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</si>
  <si>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</si>
  <si>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</si>
  <si>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</si>
  <si>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</si>
  <si>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</si>
  <si>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</si>
  <si>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</si>
  <si>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</si>
  <si>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</si>
  <si>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</si>
  <si>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</si>
  <si>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</si>
  <si>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</si>
  <si>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</si>
  <si>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</si>
  <si>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</si>
  <si>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</si>
  <si>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</si>
  <si>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</si>
  <si>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</si>
  <si>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</si>
  <si>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</si>
  <si>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</si>
  <si>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</si>
  <si>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</si>
  <si>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</si>
  <si>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</si>
  <si>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</si>
  <si>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</si>
  <si>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</si>
  <si>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</si>
  <si>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</si>
  <si>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</si>
  <si>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</si>
  <si>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</si>
  <si>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</si>
  <si>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</si>
  <si>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</si>
  <si>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</si>
  <si>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</si>
  <si>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</si>
  <si>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</si>
  <si>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</si>
  <si>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</si>
  <si>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</si>
  <si>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</si>
  <si>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</si>
  <si>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</si>
  <si>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</si>
  <si>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</si>
  <si>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</si>
  <si>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</si>
  <si>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</si>
  <si>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</si>
  <si>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</si>
  <si>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</si>
  <si>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</si>
  <si>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</si>
  <si>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</si>
  <si>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</si>
  <si>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</si>
  <si>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</si>
  <si>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</si>
  <si>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</si>
  <si>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</si>
  <si>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</si>
  <si>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</si>
  <si>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</si>
  <si>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</si>
  <si>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</si>
  <si>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</si>
  <si>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</si>
  <si>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</si>
  <si>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</si>
  <si>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</si>
  <si>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</si>
  <si>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</si>
  <si>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</si>
  <si>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</si>
  <si>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</si>
  <si>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</si>
  <si>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</si>
  <si>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</si>
  <si>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</si>
  <si>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</si>
  <si>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</si>
  <si>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</si>
  <si>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</si>
  <si>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</si>
  <si>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</si>
  <si>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</si>
  <si>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</si>
  <si>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</si>
  <si>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</si>
  <si>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</si>
  <si>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</si>
  <si>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</si>
  <si>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</si>
  <si>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</si>
  <si>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</si>
  <si>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</si>
  <si>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</si>
  <si>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</si>
  <si>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</si>
  <si>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</si>
  <si>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</si>
  <si>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</si>
  <si>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</si>
  <si>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</si>
  <si>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</si>
  <si>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Ceylon Express</t>
  </si>
  <si>
    <t>Island Movers</t>
  </si>
  <si>
    <t>FastDrop Lanka</t>
  </si>
  <si>
    <t>QuickLink Couriers</t>
  </si>
  <si>
    <t>SpeedGo Delivery</t>
  </si>
  <si>
    <t>Lanka Logistics</t>
  </si>
  <si>
    <t>Electronics</t>
  </si>
  <si>
    <t>Furniture</t>
  </si>
  <si>
    <t>Clothing</t>
  </si>
  <si>
    <t>Food</t>
  </si>
  <si>
    <t>V202</t>
  </si>
  <si>
    <t>V206</t>
  </si>
  <si>
    <t>V201</t>
  </si>
  <si>
    <t>V204</t>
  </si>
  <si>
    <t>V203</t>
  </si>
  <si>
    <t>V205</t>
  </si>
  <si>
    <t>V207</t>
  </si>
  <si>
    <t>Sajith Fernando</t>
  </si>
  <si>
    <t>Kavindu Ranasinghe</t>
  </si>
  <si>
    <t>Supun Senanayake</t>
  </si>
  <si>
    <t>Sandun Rajapaksha</t>
  </si>
  <si>
    <t>Lakshan Dissanayake</t>
  </si>
  <si>
    <t>Nuwan Jayasinghe</t>
  </si>
  <si>
    <t>Kasun Perera</t>
  </si>
  <si>
    <t>Chathura Weerasinghe</t>
  </si>
  <si>
    <t>Ruwan Bandara</t>
  </si>
  <si>
    <t>Amal Kumara</t>
  </si>
  <si>
    <t>Dineth Madushan</t>
  </si>
  <si>
    <t>Isuru De Silva</t>
  </si>
  <si>
    <t>Ravindu Wickramasinghe</t>
  </si>
  <si>
    <t>Tharindu Gunasekara</t>
  </si>
  <si>
    <t>Pasindu Herath</t>
  </si>
  <si>
    <t>Jaffna Hub</t>
  </si>
  <si>
    <t>Galle Depot</t>
  </si>
  <si>
    <t>Kandy Hub</t>
  </si>
  <si>
    <t>Kurunegala Center</t>
  </si>
  <si>
    <t>Colombo Warehouse</t>
  </si>
  <si>
    <t>Anuradhapura Depot</t>
  </si>
  <si>
    <t>Matara Warehouse</t>
  </si>
  <si>
    <t>Galle Shop_76</t>
  </si>
  <si>
    <t>Kandy Shop_49</t>
  </si>
  <si>
    <t>Galle Shop_65</t>
  </si>
  <si>
    <t>Trincomalee Shop_40</t>
  </si>
  <si>
    <t>Rathnapura Shop_15</t>
  </si>
  <si>
    <t>Negombo Shop_53</t>
  </si>
  <si>
    <t>Badulla Shop_19</t>
  </si>
  <si>
    <t>Colombo Shop_55</t>
  </si>
  <si>
    <t>Kandy Shop_28</t>
  </si>
  <si>
    <t>Galle Shop_18</t>
  </si>
  <si>
    <t>Rathnapura Shop_47</t>
  </si>
  <si>
    <t>Negombo Shop_68</t>
  </si>
  <si>
    <t>Colombo Shop_13</t>
  </si>
  <si>
    <t>Rathnapura Shop_23</t>
  </si>
  <si>
    <t>Badulla Shop_43</t>
  </si>
  <si>
    <t>Negombo Shop_64</t>
  </si>
  <si>
    <t>Negombo Shop_1</t>
  </si>
  <si>
    <t>Jaffna Shop_79</t>
  </si>
  <si>
    <t>Matara Shop_64</t>
  </si>
  <si>
    <t>Kandy Shop_16</t>
  </si>
  <si>
    <t>Kurunegala Shop_64</t>
  </si>
  <si>
    <t>Colombo Shop_23</t>
  </si>
  <si>
    <t>Trincomalee Shop_30</t>
  </si>
  <si>
    <t>Badulla Shop_70</t>
  </si>
  <si>
    <t>Negombo Shop_58</t>
  </si>
  <si>
    <t>Trincomalee Shop_8</t>
  </si>
  <si>
    <t>Rathnapura Shop_52</t>
  </si>
  <si>
    <t>Rathnapura Shop_24</t>
  </si>
  <si>
    <t>Badulla Shop_71</t>
  </si>
  <si>
    <t>Kurunegala Shop_82</t>
  </si>
  <si>
    <t>Matara Shop_48</t>
  </si>
  <si>
    <t>Colombo Shop_34</t>
  </si>
  <si>
    <t>Kurunegala Shop_18</t>
  </si>
  <si>
    <t>Negombo Shop_12</t>
  </si>
  <si>
    <t>Matara Shop_87</t>
  </si>
  <si>
    <t>Kurunegala Shop_66</t>
  </si>
  <si>
    <t>Jaffna Shop_48</t>
  </si>
  <si>
    <t>Colombo Shop_89</t>
  </si>
  <si>
    <t>Galle Shop_62</t>
  </si>
  <si>
    <t>Colombo Shop_45</t>
  </si>
  <si>
    <t>Jaffna Shop_21</t>
  </si>
  <si>
    <t>Trincomalee Shop_91</t>
  </si>
  <si>
    <t>Matara Shop_31</t>
  </si>
  <si>
    <t>Jaffna Shop_43</t>
  </si>
  <si>
    <t>Colombo Shop_44</t>
  </si>
  <si>
    <t>Badulla Shop_4</t>
  </si>
  <si>
    <t>Negombo Shop_74</t>
  </si>
  <si>
    <t>Galle Shop_50</t>
  </si>
  <si>
    <t>Kurunegala Shop_24</t>
  </si>
  <si>
    <t>Kurunegala Shop_6</t>
  </si>
  <si>
    <t>Matara Shop_53</t>
  </si>
  <si>
    <t>Badulla Shop_84</t>
  </si>
  <si>
    <t>Negombo Shop_2</t>
  </si>
  <si>
    <t>Rathnapura Shop_49</t>
  </si>
  <si>
    <t>Badulla Shop_18</t>
  </si>
  <si>
    <t>Kandy Shop_55</t>
  </si>
  <si>
    <t>Negombo Shop_50</t>
  </si>
  <si>
    <t>Matara Shop_100</t>
  </si>
  <si>
    <t>Rathnapura Shop_14</t>
  </si>
  <si>
    <t>Colombo Shop_33</t>
  </si>
  <si>
    <t>Kandy Shop_67</t>
  </si>
  <si>
    <t>Negombo Shop_9</t>
  </si>
  <si>
    <t>Jaffna Shop_76</t>
  </si>
  <si>
    <t>Trincomalee Shop_69</t>
  </si>
  <si>
    <t>Galle Shop_69</t>
  </si>
  <si>
    <t>Rathnapura Shop_78</t>
  </si>
  <si>
    <t>Kandy Shop_95</t>
  </si>
  <si>
    <t>Trincomalee Shop_98</t>
  </si>
  <si>
    <t>Badulla Shop_14</t>
  </si>
  <si>
    <t>Badulla Shop_16</t>
  </si>
  <si>
    <t>Galle Shop_32</t>
  </si>
  <si>
    <t>Matara Shop_37</t>
  </si>
  <si>
    <t>Badulla Shop_51</t>
  </si>
  <si>
    <t>Colombo Shop_25</t>
  </si>
  <si>
    <t>Rathnapura Shop_73</t>
  </si>
  <si>
    <t>Colombo Shop_86</t>
  </si>
  <si>
    <t>Matara Shop_97</t>
  </si>
  <si>
    <t>Galle Shop_20</t>
  </si>
  <si>
    <t>Kurunegala Shop_26</t>
  </si>
  <si>
    <t>Galle Shop_98</t>
  </si>
  <si>
    <t>Trincomalee Shop_60</t>
  </si>
  <si>
    <t>Matara Shop_35</t>
  </si>
  <si>
    <t>Kandy Shop_15</t>
  </si>
  <si>
    <t>Rathnapura Shop_84</t>
  </si>
  <si>
    <t>Badulla Shop_10</t>
  </si>
  <si>
    <t>Colombo Shop_14</t>
  </si>
  <si>
    <t>Rathnapura Shop_8</t>
  </si>
  <si>
    <t>Kandy Shop_6</t>
  </si>
  <si>
    <t>Jaffna Shop_2</t>
  </si>
  <si>
    <t>Colombo Shop_75</t>
  </si>
  <si>
    <t>Matara Shop_34</t>
  </si>
  <si>
    <t>Colombo Shop_68</t>
  </si>
  <si>
    <t>Matara Shop_80</t>
  </si>
  <si>
    <t>Negombo Shop_8</t>
  </si>
  <si>
    <t>Galle Shop_72</t>
  </si>
  <si>
    <t>Negombo Shop_54</t>
  </si>
  <si>
    <t>Rathnapura Shop_27</t>
  </si>
  <si>
    <t>Matara Shop_32</t>
  </si>
  <si>
    <t>Trincomalee Shop_31</t>
  </si>
  <si>
    <t>Rathnapura Shop_88</t>
  </si>
  <si>
    <t>Badulla Shop_50</t>
  </si>
  <si>
    <t>Galle Shop_49</t>
  </si>
  <si>
    <t>Rathnapura Shop_5</t>
  </si>
  <si>
    <t>Trincomalee Shop_77</t>
  </si>
  <si>
    <t>Kandy Shop_87</t>
  </si>
  <si>
    <t>Negombo Shop_97</t>
  </si>
  <si>
    <t>Kurunegala Shop_68</t>
  </si>
  <si>
    <t>Colombo Shop_95</t>
  </si>
  <si>
    <t>Matara Shop_69</t>
  </si>
  <si>
    <t>Trincomalee Shop_88</t>
  </si>
  <si>
    <t>Kurunegala Shop_58</t>
  </si>
  <si>
    <t>Matara Shop_84</t>
  </si>
  <si>
    <t>Matara Shop_45</t>
  </si>
  <si>
    <t>Badulla Shop_40</t>
  </si>
  <si>
    <t>Negombo Shop_98</t>
  </si>
  <si>
    <t>Trincomalee Shop_35</t>
  </si>
  <si>
    <t>Jaffna Shop_10</t>
  </si>
  <si>
    <t>Jaffna Shop_90</t>
  </si>
  <si>
    <t>Negombo Shop_11</t>
  </si>
  <si>
    <t>Galle Shop_63</t>
  </si>
  <si>
    <t>Badulla Shop_11</t>
  </si>
  <si>
    <t>Kurunegala Shop_45</t>
  </si>
  <si>
    <t>Colombo Shop_66</t>
  </si>
  <si>
    <t>Rathnapura Shop_29</t>
  </si>
  <si>
    <t>Colombo Shop_61</t>
  </si>
  <si>
    <t>Rathnapura Shop_11</t>
  </si>
  <si>
    <t>Trincomalee Shop_24</t>
  </si>
  <si>
    <t>Kandy Shop_99</t>
  </si>
  <si>
    <t>Badulla Shop_95</t>
  </si>
  <si>
    <t>Colombo Shop_38</t>
  </si>
  <si>
    <t>Trincomalee Shop_26</t>
  </si>
  <si>
    <t>Negombo Shop_19</t>
  </si>
  <si>
    <t>Kurunegala Shop_7</t>
  </si>
  <si>
    <t>Matara Shop_91</t>
  </si>
  <si>
    <t>Kandy Shop_13</t>
  </si>
  <si>
    <t>Rathnapura Shop_53</t>
  </si>
  <si>
    <t>Rathnapura Shop_75</t>
  </si>
  <si>
    <t>Colombo Shop_80</t>
  </si>
  <si>
    <t>Rathnapura Shop_69</t>
  </si>
  <si>
    <t>Kandy Shop_17</t>
  </si>
  <si>
    <t>Matara Shop_10</t>
  </si>
  <si>
    <t>Badulla Shop_13</t>
  </si>
  <si>
    <t>Rathnapura Shop_44</t>
  </si>
  <si>
    <t>Negombo Shop_84</t>
  </si>
  <si>
    <t>Matara Shop_23</t>
  </si>
  <si>
    <t>Jaffna Shop_16</t>
  </si>
  <si>
    <t>Trincomalee Shop_20</t>
  </si>
  <si>
    <t>Jaffna Shop_87</t>
  </si>
  <si>
    <t>Negombo Shop_5</t>
  </si>
  <si>
    <t>Rathnapura Shop_41</t>
  </si>
  <si>
    <t>Trincomalee Shop_64</t>
  </si>
  <si>
    <t>Kurunegala Shop_37</t>
  </si>
  <si>
    <t>Badulla Shop_24</t>
  </si>
  <si>
    <t>Trincomalee Shop_83</t>
  </si>
  <si>
    <t>Rathnapura Shop_92</t>
  </si>
  <si>
    <t>Galle Shop_67</t>
  </si>
  <si>
    <t>Rathnapura Shop_32</t>
  </si>
  <si>
    <t>Badulla Shop_26</t>
  </si>
  <si>
    <t>Trincomalee Shop_100</t>
  </si>
  <si>
    <t>Galle Shop_68</t>
  </si>
  <si>
    <t>Kurunegala Shop_13</t>
  </si>
  <si>
    <t>Jaffna Shop_7</t>
  </si>
  <si>
    <t>Negombo Shop_95</t>
  </si>
  <si>
    <t>Badulla Shop_87</t>
  </si>
  <si>
    <t>Trincomalee Shop_84</t>
  </si>
  <si>
    <t>Trincomalee Shop_95</t>
  </si>
  <si>
    <t>Badulla Shop_96</t>
  </si>
  <si>
    <t>Kandy Shop_26</t>
  </si>
  <si>
    <t>Rathnapura Shop_31</t>
  </si>
  <si>
    <t>Negombo Shop_10</t>
  </si>
  <si>
    <t>Galle Shop_93</t>
  </si>
  <si>
    <t>Galle Shop_97</t>
  </si>
  <si>
    <t>Rathnapura Shop_16</t>
  </si>
  <si>
    <t>Negombo Shop_3</t>
  </si>
  <si>
    <t>Negombo Shop_36</t>
  </si>
  <si>
    <t>Matara Shop_47</t>
  </si>
  <si>
    <t>Jaffna Shop_33</t>
  </si>
  <si>
    <t>Rathnapura Shop_9</t>
  </si>
  <si>
    <t>Kandy Shop_32</t>
  </si>
  <si>
    <t>Badulla Shop_81</t>
  </si>
  <si>
    <t>Badulla Shop_22</t>
  </si>
  <si>
    <t>Kandy Shop_74</t>
  </si>
  <si>
    <t>Negombo Shop_62</t>
  </si>
  <si>
    <t>Rathnapura Shop_68</t>
  </si>
  <si>
    <t>Matara Shop_44</t>
  </si>
  <si>
    <t>Trincomalee Shop_89</t>
  </si>
  <si>
    <t>Matara Shop_20</t>
  </si>
  <si>
    <t>Rathnapura Shop_20</t>
  </si>
  <si>
    <t>Colombo Shop_49</t>
  </si>
  <si>
    <t>Colombo Shop_30</t>
  </si>
  <si>
    <t>Badulla Shop_94</t>
  </si>
  <si>
    <t>Matara Shop_5</t>
  </si>
  <si>
    <t>Kurunegala Shop_9</t>
  </si>
  <si>
    <t>Badulla Shop_48</t>
  </si>
  <si>
    <t>Kurunegala Shop_14</t>
  </si>
  <si>
    <t>Jaffna Shop_11</t>
  </si>
  <si>
    <t>Trincomalee Shop_57</t>
  </si>
  <si>
    <t>Kandy Shop_100</t>
  </si>
  <si>
    <t>Kurunegala Shop_17</t>
  </si>
  <si>
    <t>Matara Shop_36</t>
  </si>
  <si>
    <t>Matara Shop_65</t>
  </si>
  <si>
    <t>Rathnapura Shop_6</t>
  </si>
  <si>
    <t>Jaffna Shop_55</t>
  </si>
  <si>
    <t>Badulla Shop_46</t>
  </si>
  <si>
    <t>Matara Shop_54</t>
  </si>
  <si>
    <t>Jaffna Shop_49</t>
  </si>
  <si>
    <t>Rathnapura Shop_79</t>
  </si>
  <si>
    <t>Kurunegala Shop_19</t>
  </si>
  <si>
    <t>Galle Shop_8</t>
  </si>
  <si>
    <t>Badulla Shop_92</t>
  </si>
  <si>
    <t>Jaffna Shop_27</t>
  </si>
  <si>
    <t>Rathnapura Shop_17</t>
  </si>
  <si>
    <t>Kurunegala Shop_71</t>
  </si>
  <si>
    <t>Galle Shop_39</t>
  </si>
  <si>
    <t>Jaffna Shop_54</t>
  </si>
  <si>
    <t>Kandy Shop_70</t>
  </si>
  <si>
    <t>Badulla Shop_33</t>
  </si>
  <si>
    <t>Jaffna Shop_51</t>
  </si>
  <si>
    <t>Matara Shop_19</t>
  </si>
  <si>
    <t>Matara Shop_9</t>
  </si>
  <si>
    <t>Galle Shop_71</t>
  </si>
  <si>
    <t>Rathnapura Shop_66</t>
  </si>
  <si>
    <t>Trincomalee Shop_78</t>
  </si>
  <si>
    <t>Trincomalee Shop_7</t>
  </si>
  <si>
    <t>Matara Shop_22</t>
  </si>
  <si>
    <t>Colombo Shop_31</t>
  </si>
  <si>
    <t>Colombo Shop_77</t>
  </si>
  <si>
    <t>Trincomalee Shop_37</t>
  </si>
  <si>
    <t>Jaffna Shop_24</t>
  </si>
  <si>
    <t>Colombo Shop_5</t>
  </si>
  <si>
    <t>Matara Shop_13</t>
  </si>
  <si>
    <t>Badulla Shop_62</t>
  </si>
  <si>
    <t>Kandy Shop_23</t>
  </si>
  <si>
    <t>Matara Shop_62</t>
  </si>
  <si>
    <t>Badulla Shop_64</t>
  </si>
  <si>
    <t>Jaffna Shop_73</t>
  </si>
  <si>
    <t>Negombo Shop_85</t>
  </si>
  <si>
    <t>Galle Shop_56</t>
  </si>
  <si>
    <t>Badulla Shop_67</t>
  </si>
  <si>
    <t>Kandy Shop_56</t>
  </si>
  <si>
    <t>Negombo Shop_38</t>
  </si>
  <si>
    <t>Kurunegala Shop_39</t>
  </si>
  <si>
    <t>Badulla Shop_86</t>
  </si>
  <si>
    <t>Galle Shop_83</t>
  </si>
  <si>
    <t>Badulla Shop_7</t>
  </si>
  <si>
    <t>Negombo Shop_27</t>
  </si>
  <si>
    <t>Matara Shop_40</t>
  </si>
  <si>
    <t>Kandy Shop_19</t>
  </si>
  <si>
    <t>Jaffna Shop_72</t>
  </si>
  <si>
    <t>Colombo Shop_22</t>
  </si>
  <si>
    <t>Kurunegala Shop_87</t>
  </si>
  <si>
    <t>Matara Shop_24</t>
  </si>
  <si>
    <t>Galle Shop_11</t>
  </si>
  <si>
    <t>Rathnapura Shop_56</t>
  </si>
  <si>
    <t>Matara Shop_14</t>
  </si>
  <si>
    <t>Trincomalee Shop_13</t>
  </si>
  <si>
    <t>Badulla Shop_73</t>
  </si>
  <si>
    <t>Kurunegala Shop_3</t>
  </si>
  <si>
    <t>Jaffna Shop_91</t>
  </si>
  <si>
    <t>Negombo Shop_42</t>
  </si>
  <si>
    <t>Kandy Shop_61</t>
  </si>
  <si>
    <t>Negombo Shop_75</t>
  </si>
  <si>
    <t>Badulla Shop_12</t>
  </si>
  <si>
    <t>Badulla Shop_32</t>
  </si>
  <si>
    <t>Matara Shop_59</t>
  </si>
  <si>
    <t>2025-10-14 21:42</t>
  </si>
  <si>
    <t>2025-10-13 16:51</t>
  </si>
  <si>
    <t>2025-10-02 13:59</t>
  </si>
  <si>
    <t>2025-10-15 13:57</t>
  </si>
  <si>
    <t>2025-10-09 15:16</t>
  </si>
  <si>
    <t>2025-10-08 11:04</t>
  </si>
  <si>
    <t>2025-10-12 04:24</t>
  </si>
  <si>
    <t>2025-10-16 07:42</t>
  </si>
  <si>
    <t>2025-10-12 19:13</t>
  </si>
  <si>
    <t>2025-10-14 09:06</t>
  </si>
  <si>
    <t>2025-10-05 01:24</t>
  </si>
  <si>
    <t>2025-10-01 21:47</t>
  </si>
  <si>
    <t>2025-10-09 22:01</t>
  </si>
  <si>
    <t>2025-10-01 13:39</t>
  </si>
  <si>
    <t>2025-10-11 02:00</t>
  </si>
  <si>
    <t>2025-10-09 02:49</t>
  </si>
  <si>
    <t>2025-10-17 12:33</t>
  </si>
  <si>
    <t>2025-10-05 21:30</t>
  </si>
  <si>
    <t>2025-10-18 18:45</t>
  </si>
  <si>
    <t>2025-10-07 16:35</t>
  </si>
  <si>
    <t>2025-10-18 18:19</t>
  </si>
  <si>
    <t>2025-10-03 05:13</t>
  </si>
  <si>
    <t>2025-10-06 23:23</t>
  </si>
  <si>
    <t>2025-10-03 00:07</t>
  </si>
  <si>
    <t>2025-10-03 13:54</t>
  </si>
  <si>
    <t>2025-10-13 22:33</t>
  </si>
  <si>
    <t>2025-10-07 11:16</t>
  </si>
  <si>
    <t>2025-10-16 08:54</t>
  </si>
  <si>
    <t>2025-10-15 02:49</t>
  </si>
  <si>
    <t>2025-10-02 07:05</t>
  </si>
  <si>
    <t>2025-10-03 14:05</t>
  </si>
  <si>
    <t>2025-10-04 03:02</t>
  </si>
  <si>
    <t>2025-10-02 00:18</t>
  </si>
  <si>
    <t>2025-10-16 05:55</t>
  </si>
  <si>
    <t>2025-10-20 00:24</t>
  </si>
  <si>
    <t>2025-10-17 09:34</t>
  </si>
  <si>
    <t>2025-10-20 21:24</t>
  </si>
  <si>
    <t>2025-10-15 06:15</t>
  </si>
  <si>
    <t>2025-10-04 19:11</t>
  </si>
  <si>
    <t>2025-10-12 23:24</t>
  </si>
  <si>
    <t>2025-10-18 03:09</t>
  </si>
  <si>
    <t>2025-10-10 16:49</t>
  </si>
  <si>
    <t>2025-10-06 10:54</t>
  </si>
  <si>
    <t>2025-10-19 19:33</t>
  </si>
  <si>
    <t>2025-10-05 00:14</t>
  </si>
  <si>
    <t>2025-10-09 08:11</t>
  </si>
  <si>
    <t>2025-10-09 05:15</t>
  </si>
  <si>
    <t>2025-10-19 03:53</t>
  </si>
  <si>
    <t>2025-10-15 19:54</t>
  </si>
  <si>
    <t>2025-10-03 06:23</t>
  </si>
  <si>
    <t>2025-10-06 12:07</t>
  </si>
  <si>
    <t>2025-10-16 19:39</t>
  </si>
  <si>
    <t>2025-10-15 07:19</t>
  </si>
  <si>
    <t>2025-10-07 17:32</t>
  </si>
  <si>
    <t>2025-10-15 10:36</t>
  </si>
  <si>
    <t>2025-10-06 22:18</t>
  </si>
  <si>
    <t>2025-10-16 23:19</t>
  </si>
  <si>
    <t>2025-10-02 11:15</t>
  </si>
  <si>
    <t>2025-10-03 13:30</t>
  </si>
  <si>
    <t>2025-10-03 17:22</t>
  </si>
  <si>
    <t>2025-10-04 23:12</t>
  </si>
  <si>
    <t>2025-10-19 02:10</t>
  </si>
  <si>
    <t>2025-10-15 19:42</t>
  </si>
  <si>
    <t>2025-10-07 14:49</t>
  </si>
  <si>
    <t>2025-10-03 11:48</t>
  </si>
  <si>
    <t>2025-10-05 18:23</t>
  </si>
  <si>
    <t>2025-10-12 17:30</t>
  </si>
  <si>
    <t>2025-10-20 02:47</t>
  </si>
  <si>
    <t>2025-10-02 04:45</t>
  </si>
  <si>
    <t>2025-10-19 13:48</t>
  </si>
  <si>
    <t>2025-10-15 08:04</t>
  </si>
  <si>
    <t>2025-10-01 15:53</t>
  </si>
  <si>
    <t>2025-10-13 17:52</t>
  </si>
  <si>
    <t>2025-10-14 05:18</t>
  </si>
  <si>
    <t>2025-10-18 18:04</t>
  </si>
  <si>
    <t>2025-10-17 03:12</t>
  </si>
  <si>
    <t>2025-10-06 17:28</t>
  </si>
  <si>
    <t>2025-10-01 22:36</t>
  </si>
  <si>
    <t>2025-10-19 10:38</t>
  </si>
  <si>
    <t>2025-10-20 23:48</t>
  </si>
  <si>
    <t>2025-10-07 17:01</t>
  </si>
  <si>
    <t>2025-10-11 15:46</t>
  </si>
  <si>
    <t>2025-10-02 23:23</t>
  </si>
  <si>
    <t>2025-10-05 15:10</t>
  </si>
  <si>
    <t>2025-10-03 10:51</t>
  </si>
  <si>
    <t>2025-10-20 19:25</t>
  </si>
  <si>
    <t>2025-10-01 20:35</t>
  </si>
  <si>
    <t>2025-10-10 23:08</t>
  </si>
  <si>
    <t>2025-10-20 18:10</t>
  </si>
  <si>
    <t>2025-10-06 00:52</t>
  </si>
  <si>
    <t>2025-10-05 07:38</t>
  </si>
  <si>
    <t>2025-10-13 02:11</t>
  </si>
  <si>
    <t>2025-10-14 09:21</t>
  </si>
  <si>
    <t>2025-10-11 01:58</t>
  </si>
  <si>
    <t>2025-10-01 07:01</t>
  </si>
  <si>
    <t>2025-10-09 00:13</t>
  </si>
  <si>
    <t>2025-10-16 12:14</t>
  </si>
  <si>
    <t>2025-10-11 23:29</t>
  </si>
  <si>
    <t>2025-10-19 10:56</t>
  </si>
  <si>
    <t>2025-10-01 23:24</t>
  </si>
  <si>
    <t>2025-10-08 20:22</t>
  </si>
  <si>
    <t>2025-10-14 23:16</t>
  </si>
  <si>
    <t>2025-10-05 05:04</t>
  </si>
  <si>
    <t>2025-10-13 00:47</t>
  </si>
  <si>
    <t>2025-10-06 20:47</t>
  </si>
  <si>
    <t>2025-10-17 05:23</t>
  </si>
  <si>
    <t>2025-10-06 07:34</t>
  </si>
  <si>
    <t>2025-10-16 18:03</t>
  </si>
  <si>
    <t>2025-10-17 21:36</t>
  </si>
  <si>
    <t>2025-10-03 22:52</t>
  </si>
  <si>
    <t>2025-10-02 06:26</t>
  </si>
  <si>
    <t>2025-10-11 17:24</t>
  </si>
  <si>
    <t>2025-10-05 05:06</t>
  </si>
  <si>
    <t>2025-10-14 07:54</t>
  </si>
  <si>
    <t>2025-10-14 17:54</t>
  </si>
  <si>
    <t>2025-10-02 00:43</t>
  </si>
  <si>
    <t>2025-10-19 18:35</t>
  </si>
  <si>
    <t>2025-10-08 13:12</t>
  </si>
  <si>
    <t>2025-10-13 12:47</t>
  </si>
  <si>
    <t>2025-10-10 16:42</t>
  </si>
  <si>
    <t>2025-10-17 16:30</t>
  </si>
  <si>
    <t>2025-10-01 15:50</t>
  </si>
  <si>
    <t>2025-10-05 20:42</t>
  </si>
  <si>
    <t>2025-10-21 04:13</t>
  </si>
  <si>
    <t>2025-10-16 08:09</t>
  </si>
  <si>
    <t>2025-10-20 03:35</t>
  </si>
  <si>
    <t>2025-10-06 05:32</t>
  </si>
  <si>
    <t>2025-10-17 02:30</t>
  </si>
  <si>
    <t>2025-10-13 00:20</t>
  </si>
  <si>
    <t>2025-10-13 19:47</t>
  </si>
  <si>
    <t>2025-10-03 00:59</t>
  </si>
  <si>
    <t>2025-10-18 20:17</t>
  </si>
  <si>
    <t>2025-10-08 20:44</t>
  </si>
  <si>
    <t>2025-10-17 16:31</t>
  </si>
  <si>
    <t>2025-10-04 19:59</t>
  </si>
  <si>
    <t>2025-10-04 09:19</t>
  </si>
  <si>
    <t>2025-10-09 00:29</t>
  </si>
  <si>
    <t>2025-10-05 10:16</t>
  </si>
  <si>
    <t>2025-10-14 16:29</t>
  </si>
  <si>
    <t>2025-10-15 19:24</t>
  </si>
  <si>
    <t>2025-10-15 07:20</t>
  </si>
  <si>
    <t>2025-10-04 15:43</t>
  </si>
  <si>
    <t>2025-10-18 07:53</t>
  </si>
  <si>
    <t>2025-10-06 16:34</t>
  </si>
  <si>
    <t>2025-10-03 01:46</t>
  </si>
  <si>
    <t>2025-10-02 00:50</t>
  </si>
  <si>
    <t>2025-10-16 01:27</t>
  </si>
  <si>
    <t>2025-10-07 05:47</t>
  </si>
  <si>
    <t>2025-10-18 07:36</t>
  </si>
  <si>
    <t>2025-10-01 12:36</t>
  </si>
  <si>
    <t>2025-10-17 04:34</t>
  </si>
  <si>
    <t>2025-10-05 13:04</t>
  </si>
  <si>
    <t>2025-10-07 07:29</t>
  </si>
  <si>
    <t>2025-10-16 00:38</t>
  </si>
  <si>
    <t>2025-10-06 02:48</t>
  </si>
  <si>
    <t>2025-10-06 23:04</t>
  </si>
  <si>
    <t>2025-10-05 13:33</t>
  </si>
  <si>
    <t>2025-10-13 10:13</t>
  </si>
  <si>
    <t>2025-10-19 05:40</t>
  </si>
  <si>
    <t>2025-10-15 18:38</t>
  </si>
  <si>
    <t>2025-10-17 08:00</t>
  </si>
  <si>
    <t>2025-10-13 01:58</t>
  </si>
  <si>
    <t>2025-10-19 21:03</t>
  </si>
  <si>
    <t>2025-10-08 18:58</t>
  </si>
  <si>
    <t>2025-10-14 00:20</t>
  </si>
  <si>
    <t>2025-10-12 13:51</t>
  </si>
  <si>
    <t>2025-10-01 15:22</t>
  </si>
  <si>
    <t>2025-10-11 11:23</t>
  </si>
  <si>
    <t>2025-10-05 12:07</t>
  </si>
  <si>
    <t>2025-10-14 19:03</t>
  </si>
  <si>
    <t>2025-10-17 11:22</t>
  </si>
  <si>
    <t>2025-10-19 04:09</t>
  </si>
  <si>
    <t>2025-10-13 11:51</t>
  </si>
  <si>
    <t>2025-10-10 04:54</t>
  </si>
  <si>
    <t>2025-10-03 22:32</t>
  </si>
  <si>
    <t>2025-10-07 13:07</t>
  </si>
  <si>
    <t>2025-10-18 08:06</t>
  </si>
  <si>
    <t>2025-10-17 23:01</t>
  </si>
  <si>
    <t>2025-10-18 21:21</t>
  </si>
  <si>
    <t>2025-10-09 09:56</t>
  </si>
  <si>
    <t>2025-10-17 09:54</t>
  </si>
  <si>
    <t>2025-10-17 08:59</t>
  </si>
  <si>
    <t>2025-10-09 16:44</t>
  </si>
  <si>
    <t>2025-10-03 08:35</t>
  </si>
  <si>
    <t>2025-10-19 06:42</t>
  </si>
  <si>
    <t>2025-10-07 23:25</t>
  </si>
  <si>
    <t>2025-10-14 11:35</t>
  </si>
  <si>
    <t>2025-10-06 13:40</t>
  </si>
  <si>
    <t>2025-10-08 00:33</t>
  </si>
  <si>
    <t>2025-10-10 21:52</t>
  </si>
  <si>
    <t>2025-10-02 17:17</t>
  </si>
  <si>
    <t>2025-10-19 03:54</t>
  </si>
  <si>
    <t>2025-10-06 22:04</t>
  </si>
  <si>
    <t>2025-10-04 02:50</t>
  </si>
  <si>
    <t>2025-10-18 05:04</t>
  </si>
  <si>
    <t>2025-10-13 01:40</t>
  </si>
  <si>
    <t>2025-10-13 17:12</t>
  </si>
  <si>
    <t>2025-10-06 02:02</t>
  </si>
  <si>
    <t>2025-10-17 13:00</t>
  </si>
  <si>
    <t>2025-10-18 18:17</t>
  </si>
  <si>
    <t>2025-10-18 04:31</t>
  </si>
  <si>
    <t>2025-10-11 12:44</t>
  </si>
  <si>
    <t>2025-10-14 07:22</t>
  </si>
  <si>
    <t>2025-10-20 06:31</t>
  </si>
  <si>
    <t>2025-10-03 10:43</t>
  </si>
  <si>
    <t>2025-10-15 00:04</t>
  </si>
  <si>
    <t>2025-10-04 05:16</t>
  </si>
  <si>
    <t>2025-10-03 14:22</t>
  </si>
  <si>
    <t>2025-10-14 01:13</t>
  </si>
  <si>
    <t>2025-10-02 13:42</t>
  </si>
  <si>
    <t>2025-10-06 12:20</t>
  </si>
  <si>
    <t>2025-10-02 19:34</t>
  </si>
  <si>
    <t>2025-10-15 11:56</t>
  </si>
  <si>
    <t>2025-10-02 01:08</t>
  </si>
  <si>
    <t>2025-10-07 13:01</t>
  </si>
  <si>
    <t>2025-10-08 17:35</t>
  </si>
  <si>
    <t>2025-10-17 14:43</t>
  </si>
  <si>
    <t>2025-10-01 10:53</t>
  </si>
  <si>
    <t>2025-10-18 09:09</t>
  </si>
  <si>
    <t>2025-10-08 23:35</t>
  </si>
  <si>
    <t>2025-10-11 20:11</t>
  </si>
  <si>
    <t>2025-10-12 09:11</t>
  </si>
  <si>
    <t>2025-10-16 08:48</t>
  </si>
  <si>
    <t>2025-10-12 11:10</t>
  </si>
  <si>
    <t>2025-10-08 18:42</t>
  </si>
  <si>
    <t>2025-10-12 23:20</t>
  </si>
  <si>
    <t>2025-10-06 10:36</t>
  </si>
  <si>
    <t>2025-10-12 16:50</t>
  </si>
  <si>
    <t>2025-10-11 20:12</t>
  </si>
  <si>
    <t>2025-10-15 21:09</t>
  </si>
  <si>
    <t>2025-10-11 04:58</t>
  </si>
  <si>
    <t>2025-10-21 01:37</t>
  </si>
  <si>
    <t>2025-10-05 15:03</t>
  </si>
  <si>
    <t>2025-10-16 02:23</t>
  </si>
  <si>
    <t>2025-10-13 00:50</t>
  </si>
  <si>
    <t>2025-10-06 09:43</t>
  </si>
  <si>
    <t>2025-10-09 08:51</t>
  </si>
  <si>
    <t>2025-10-07 17:05</t>
  </si>
  <si>
    <t>2025-10-20 22:19</t>
  </si>
  <si>
    <t>2025-10-19 07:12</t>
  </si>
  <si>
    <t>2025-10-18 08:54</t>
  </si>
  <si>
    <t>2025-10-12 00:35</t>
  </si>
  <si>
    <t>2025-10-17 20:59</t>
  </si>
  <si>
    <t>2025-10-01 10:55</t>
  </si>
  <si>
    <t>2025-10-14 08:19</t>
  </si>
  <si>
    <t>2025-10-15 00:11</t>
  </si>
  <si>
    <t>2025-10-12 15:58</t>
  </si>
  <si>
    <t>2025-10-15 02:00</t>
  </si>
  <si>
    <t>2025-10-02 12:43</t>
  </si>
  <si>
    <t>2025-10-15 13:22</t>
  </si>
  <si>
    <t>2025-10-09 19:52</t>
  </si>
  <si>
    <t>2025-10-09 15:02</t>
  </si>
  <si>
    <t>2025-10-10 19:55</t>
  </si>
  <si>
    <t>2025-10-01 16:09</t>
  </si>
  <si>
    <t>2025-10-12 05:24</t>
  </si>
  <si>
    <t>2025-10-10 00:28</t>
  </si>
  <si>
    <t>2025-10-06 22:31</t>
  </si>
  <si>
    <t>2025-10-19 23:41</t>
  </si>
  <si>
    <t>2025-10-09 18:55</t>
  </si>
  <si>
    <t>2025-10-15 17:24</t>
  </si>
  <si>
    <t>2025-10-18 16:08</t>
  </si>
  <si>
    <t>2025-10-06 11:04</t>
  </si>
  <si>
    <t>2025-10-18 09:47</t>
  </si>
  <si>
    <t>2025-10-12 00:46</t>
  </si>
  <si>
    <t>2025-10-18 01:29</t>
  </si>
  <si>
    <t>2025-10-08 01:01</t>
  </si>
  <si>
    <t>2025-10-05 20:24</t>
  </si>
  <si>
    <t>2025-10-06 02:46</t>
  </si>
  <si>
    <t>2025-10-12 02:07</t>
  </si>
  <si>
    <t>2025-10-11 20:57</t>
  </si>
  <si>
    <t>2025-10-12 00:26</t>
  </si>
  <si>
    <t>2025-10-11 02:26</t>
  </si>
  <si>
    <t>2025-10-03 21:40</t>
  </si>
  <si>
    <t>2025-10-07 04:41</t>
  </si>
  <si>
    <t>2025-10-19 03:18</t>
  </si>
  <si>
    <t>2025-10-15 06:27</t>
  </si>
  <si>
    <t>2025-10-11 18:17</t>
  </si>
  <si>
    <t>2025-10-11 03:37</t>
  </si>
  <si>
    <t>2025-10-07 05:40</t>
  </si>
  <si>
    <t>2025-10-10 09:52</t>
  </si>
  <si>
    <t>2025-10-06 01:04</t>
  </si>
  <si>
    <t>2025-10-09 17:25</t>
  </si>
  <si>
    <t>2025-10-11 15:59</t>
  </si>
  <si>
    <t>2025-10-08 10:18</t>
  </si>
  <si>
    <t>2025-10-18 16:27</t>
  </si>
  <si>
    <t>2025-10-09 21:32</t>
  </si>
  <si>
    <t>2025-10-14 09:13</t>
  </si>
  <si>
    <t>2025-10-01 07:03</t>
  </si>
  <si>
    <t>2025-10-10 11:38</t>
  </si>
  <si>
    <t>2025-10-11 23:05</t>
  </si>
  <si>
    <t>2025-10-01 17:54</t>
  </si>
  <si>
    <t>2025-10-10 06:26</t>
  </si>
  <si>
    <t>2025-10-11 10:48</t>
  </si>
  <si>
    <t>2025-10-12 19:46</t>
  </si>
  <si>
    <t>2025-10-13 19:10</t>
  </si>
  <si>
    <t>2025-10-05 03:51</t>
  </si>
  <si>
    <t>2025-10-11 04:44</t>
  </si>
  <si>
    <t>2025-10-07 22:32</t>
  </si>
  <si>
    <t>2025-10-17 03:16</t>
  </si>
  <si>
    <t>2025-10-14 22:48</t>
  </si>
  <si>
    <t>2025-10-13 17:47</t>
  </si>
  <si>
    <t>2025-10-02 15:44</t>
  </si>
  <si>
    <t>2025-10-15 17:31</t>
  </si>
  <si>
    <t>2025-10-09 18:01</t>
  </si>
  <si>
    <t>2025-10-08 14:15</t>
  </si>
  <si>
    <t>2025-10-12 07:53</t>
  </si>
  <si>
    <t>2025-10-16 11:38</t>
  </si>
  <si>
    <t>2025-10-12 22:17</t>
  </si>
  <si>
    <t>2025-10-14 12:08</t>
  </si>
  <si>
    <t>2025-10-01 23:43</t>
  </si>
  <si>
    <t>2025-10-01 15:01</t>
  </si>
  <si>
    <t>2025-10-11 04:17</t>
  </si>
  <si>
    <t>2025-10-09 06:02</t>
  </si>
  <si>
    <t>2025-10-17 13:24</t>
  </si>
  <si>
    <t>2025-10-06 00:09</t>
  </si>
  <si>
    <t>2025-10-18 21:35</t>
  </si>
  <si>
    <t>2025-10-07 18:00</t>
  </si>
  <si>
    <t>2025-10-18 20:24</t>
  </si>
  <si>
    <t>2025-10-03 07:32</t>
  </si>
  <si>
    <t>2025-10-07 00:55</t>
  </si>
  <si>
    <t>2025-10-03 01:17</t>
  </si>
  <si>
    <t>2025-10-03 17:21</t>
  </si>
  <si>
    <t>2025-10-14 01:50</t>
  </si>
  <si>
    <t>2025-10-07 12:12</t>
  </si>
  <si>
    <t>2025-10-16 10:43</t>
  </si>
  <si>
    <t>2025-10-15 04:16</t>
  </si>
  <si>
    <t>2025-10-02 11:04</t>
  </si>
  <si>
    <t>2025-10-03 15:13</t>
  </si>
  <si>
    <t>2025-10-04 05:00</t>
  </si>
  <si>
    <t>2025-10-02 02:54</t>
  </si>
  <si>
    <t>2025-10-16 07:19</t>
  </si>
  <si>
    <t>2025-10-20 03:21</t>
  </si>
  <si>
    <t>2025-10-17 10:46</t>
  </si>
  <si>
    <t>2025-10-20 23:12</t>
  </si>
  <si>
    <t>2025-10-15 08:13</t>
  </si>
  <si>
    <t>2025-10-04 22:48</t>
  </si>
  <si>
    <t>2025-10-13 02:05</t>
  </si>
  <si>
    <t>2025-10-18 06:45</t>
  </si>
  <si>
    <t>2025-10-10 20:01</t>
  </si>
  <si>
    <t>2025-10-06 11:53</t>
  </si>
  <si>
    <t>2025-10-19 22:01</t>
  </si>
  <si>
    <t>2025-10-05 01:55</t>
  </si>
  <si>
    <t>2025-10-09 09:45</t>
  </si>
  <si>
    <t>2025-10-09 07:08</t>
  </si>
  <si>
    <t>2025-10-19 07:34</t>
  </si>
  <si>
    <t>2025-10-15 22:57</t>
  </si>
  <si>
    <t>2025-10-03 09:17</t>
  </si>
  <si>
    <t>2025-10-06 13:56</t>
  </si>
  <si>
    <t>2025-10-16 21:42</t>
  </si>
  <si>
    <t>2025-10-15 08:32</t>
  </si>
  <si>
    <t>2025-10-07 20:16</t>
  </si>
  <si>
    <t>2025-10-15 14:28</t>
  </si>
  <si>
    <t>2025-10-07 00:42</t>
  </si>
  <si>
    <t>2025-10-17 01:54</t>
  </si>
  <si>
    <t>2025-10-02 13:07</t>
  </si>
  <si>
    <t>2025-10-03 14:15</t>
  </si>
  <si>
    <t>2025-10-03 21:19</t>
  </si>
  <si>
    <t>2025-10-05 01:40</t>
  </si>
  <si>
    <t>2025-10-19 03:52</t>
  </si>
  <si>
    <t>2025-10-15 23:01</t>
  </si>
  <si>
    <t>2025-10-07 15:38</t>
  </si>
  <si>
    <t>2025-10-03 13:43</t>
  </si>
  <si>
    <t>2025-10-05 20:22</t>
  </si>
  <si>
    <t>2025-10-12 18:18</t>
  </si>
  <si>
    <t>2025-10-20 05:39</t>
  </si>
  <si>
    <t>2025-10-02 08:45</t>
  </si>
  <si>
    <t>2025-10-19 17:20</t>
  </si>
  <si>
    <t>2025-10-15 09:12</t>
  </si>
  <si>
    <t>2025-10-01 17:19</t>
  </si>
  <si>
    <t>2025-10-13 18:50</t>
  </si>
  <si>
    <t>2025-10-18 22:03</t>
  </si>
  <si>
    <t>2025-10-17 04:13</t>
  </si>
  <si>
    <t>2025-10-06 19:26</t>
  </si>
  <si>
    <t>2025-10-02 02:24</t>
  </si>
  <si>
    <t>2025-10-19 13:29</t>
  </si>
  <si>
    <t>2025-10-21 03:20</t>
  </si>
  <si>
    <t>2025-10-07 17:54</t>
  </si>
  <si>
    <t>2025-10-11 18:54</t>
  </si>
  <si>
    <t>2025-10-03 03:04</t>
  </si>
  <si>
    <t>2025-10-05 16:21</t>
  </si>
  <si>
    <t>2025-10-03 14:51</t>
  </si>
  <si>
    <t>2025-10-20 23:19</t>
  </si>
  <si>
    <t>2025-10-02 00:23</t>
  </si>
  <si>
    <t>2025-10-11 02:49</t>
  </si>
  <si>
    <t>2025-10-20 19:10</t>
  </si>
  <si>
    <t>2025-10-06 04:41</t>
  </si>
  <si>
    <t>2025-10-05 09:33</t>
  </si>
  <si>
    <t>2025-10-13 05:36</t>
  </si>
  <si>
    <t>2025-10-14 11:52</t>
  </si>
  <si>
    <t>2025-10-11 03:05</t>
  </si>
  <si>
    <t>2025-10-01 10:26</t>
  </si>
  <si>
    <t>2025-10-09 01:46</t>
  </si>
  <si>
    <t>2025-10-16 13:28</t>
  </si>
  <si>
    <t>2025-10-12 02:54</t>
  </si>
  <si>
    <t>2025-10-19 12:48</t>
  </si>
  <si>
    <t>2025-10-02 02:20</t>
  </si>
  <si>
    <t>2025-10-08 21:43</t>
  </si>
  <si>
    <t>2025-10-15 02:51</t>
  </si>
  <si>
    <t>2025-10-05 07:12</t>
  </si>
  <si>
    <t>2025-10-13 02:49</t>
  </si>
  <si>
    <t>2025-10-07 00:36</t>
  </si>
  <si>
    <t>2025-10-17 07:14</t>
  </si>
  <si>
    <t>2025-10-06 10:37</t>
  </si>
  <si>
    <t>2025-10-16 21:19</t>
  </si>
  <si>
    <t>2025-10-17 22:50</t>
  </si>
  <si>
    <t>2025-10-04 00:17</t>
  </si>
  <si>
    <t>2025-10-02 09:11</t>
  </si>
  <si>
    <t>2025-10-11 19:45</t>
  </si>
  <si>
    <t>2025-10-05 08:12</t>
  </si>
  <si>
    <t>2025-10-14 11:40</t>
  </si>
  <si>
    <t>2025-10-14 21:11</t>
  </si>
  <si>
    <t>2025-10-02 04:05</t>
  </si>
  <si>
    <t>2025-10-19 21:17</t>
  </si>
  <si>
    <t>2025-10-08 15:11</t>
  </si>
  <si>
    <t>2025-10-13 15:03</t>
  </si>
  <si>
    <t>2025-10-10 19:42</t>
  </si>
  <si>
    <t>2025-10-17 19:53</t>
  </si>
  <si>
    <t>2025-10-01 19:15</t>
  </si>
  <si>
    <t>2025-10-05 22:40</t>
  </si>
  <si>
    <t>2025-10-21 06:08</t>
  </si>
  <si>
    <t>2025-10-16 09:11</t>
  </si>
  <si>
    <t>2025-10-20 04:46</t>
  </si>
  <si>
    <t>2025-10-06 08:09</t>
  </si>
  <si>
    <t>2025-10-17 04:01</t>
  </si>
  <si>
    <t>2025-10-13 03:01</t>
  </si>
  <si>
    <t>2025-10-13 22:14</t>
  </si>
  <si>
    <t>2025-10-03 04:30</t>
  </si>
  <si>
    <t>2025-10-18 23:38</t>
  </si>
  <si>
    <t>2025-10-08 22:52</t>
  </si>
  <si>
    <t>2025-10-17 18:24</t>
  </si>
  <si>
    <t>2025-10-04 22:26</t>
  </si>
  <si>
    <t>2025-10-04 10:19</t>
  </si>
  <si>
    <t>2025-10-09 02:48</t>
  </si>
  <si>
    <t>2025-10-05 13:11</t>
  </si>
  <si>
    <t>2025-10-14 17:29</t>
  </si>
  <si>
    <t>2025-10-15 20:57</t>
  </si>
  <si>
    <t>2025-10-15 10:31</t>
  </si>
  <si>
    <t>2025-10-04 17:32</t>
  </si>
  <si>
    <t>2025-10-18 11:19</t>
  </si>
  <si>
    <t>2025-10-06 17:45</t>
  </si>
  <si>
    <t>2025-10-03 05:28</t>
  </si>
  <si>
    <t>2025-10-02 02:10</t>
  </si>
  <si>
    <t>2025-10-16 02:47</t>
  </si>
  <si>
    <t>2025-10-07 09:34</t>
  </si>
  <si>
    <t>2025-10-18 09:11</t>
  </si>
  <si>
    <t>2025-10-01 13:38</t>
  </si>
  <si>
    <t>2025-10-17 07:25</t>
  </si>
  <si>
    <t>2025-10-05 14:35</t>
  </si>
  <si>
    <t>2025-10-07 09:00</t>
  </si>
  <si>
    <t>2025-10-16 03:26</t>
  </si>
  <si>
    <t>2025-10-06 04:33</t>
  </si>
  <si>
    <t>2025-10-07 03:01</t>
  </si>
  <si>
    <t>2025-10-05 15:45</t>
  </si>
  <si>
    <t>2025-10-13 11:10</t>
  </si>
  <si>
    <t>2025-10-19 08:03</t>
  </si>
  <si>
    <t>2025-10-15 20:34</t>
  </si>
  <si>
    <t>2025-10-17 09:33</t>
  </si>
  <si>
    <t>2025-10-13 04:58</t>
  </si>
  <si>
    <t>2025-10-19 22:27</t>
  </si>
  <si>
    <t>2025-10-08 21:57</t>
  </si>
  <si>
    <t>2025-10-14 04:00</t>
  </si>
  <si>
    <t>2025-10-12 16:44</t>
  </si>
  <si>
    <t>2025-10-01 17:21</t>
  </si>
  <si>
    <t>2025-10-11 12:35</t>
  </si>
  <si>
    <t>2025-10-10 18:11</t>
  </si>
  <si>
    <t>2025-10-14 20:07</t>
  </si>
  <si>
    <t>2025-10-17 14:19</t>
  </si>
  <si>
    <t>2025-10-19 06:51</t>
  </si>
  <si>
    <t>2025-10-13 13:20</t>
  </si>
  <si>
    <t>2025-10-10 08:32</t>
  </si>
  <si>
    <t>2025-10-04 01:02</t>
  </si>
  <si>
    <t>2025-10-07 15:20</t>
  </si>
  <si>
    <t>2025-10-18 09:28</t>
  </si>
  <si>
    <t>2025-10-18 01:28</t>
  </si>
  <si>
    <t>2025-10-18 22:55</t>
  </si>
  <si>
    <t>2025-10-09 11:50</t>
  </si>
  <si>
    <t>2025-10-17 11:31</t>
  </si>
  <si>
    <t>2025-10-09 19:07</t>
  </si>
  <si>
    <t>2025-10-03 11:46</t>
  </si>
  <si>
    <t>2025-10-19 09:54</t>
  </si>
  <si>
    <t>2025-10-08 01:48</t>
  </si>
  <si>
    <t>2025-10-14 14:30</t>
  </si>
  <si>
    <t>2025-10-06 17:32</t>
  </si>
  <si>
    <t>2025-10-08 03:49</t>
  </si>
  <si>
    <t>2025-10-11 00:30</t>
  </si>
  <si>
    <t>2025-10-02 18:14</t>
  </si>
  <si>
    <t>2025-10-19 07:27</t>
  </si>
  <si>
    <t>2025-10-06 23:33</t>
  </si>
  <si>
    <t>2025-10-04 03:38</t>
  </si>
  <si>
    <t>2025-10-18 06:07</t>
  </si>
  <si>
    <t>2025-10-13 05:12</t>
  </si>
  <si>
    <t>2025-10-13 18:20</t>
  </si>
  <si>
    <t>2025-10-06 04:51</t>
  </si>
  <si>
    <t>2025-10-17 15:34</t>
  </si>
  <si>
    <t>2025-10-18 21:46</t>
  </si>
  <si>
    <t>2025-10-18 07:16</t>
  </si>
  <si>
    <t>2025-10-11 13:45</t>
  </si>
  <si>
    <t>2025-10-14 10:12</t>
  </si>
  <si>
    <t>2025-10-20 09:42</t>
  </si>
  <si>
    <t>2025-10-03 12:04</t>
  </si>
  <si>
    <t>2025-10-15 03:27</t>
  </si>
  <si>
    <t>2025-10-04 07:47</t>
  </si>
  <si>
    <t>2025-10-03 15:53</t>
  </si>
  <si>
    <t>2025-10-14 02:58</t>
  </si>
  <si>
    <t>2025-10-02 16:46</t>
  </si>
  <si>
    <t>2025-10-06 14:26</t>
  </si>
  <si>
    <t>2025-10-02 20:47</t>
  </si>
  <si>
    <t>2025-10-15 14:22</t>
  </si>
  <si>
    <t>2025-10-02 04:09</t>
  </si>
  <si>
    <t>2025-10-07 15:08</t>
  </si>
  <si>
    <t>2025-10-08 20:55</t>
  </si>
  <si>
    <t>2025-10-17 17:48</t>
  </si>
  <si>
    <t>2025-10-01 13:15</t>
  </si>
  <si>
    <t>2025-10-18 11:36</t>
  </si>
  <si>
    <t>2025-10-09 01:30</t>
  </si>
  <si>
    <t>2025-10-11 23:55</t>
  </si>
  <si>
    <t>2025-10-12 12:21</t>
  </si>
  <si>
    <t>2025-10-16 11:50</t>
  </si>
  <si>
    <t>2025-10-12 12:02</t>
  </si>
  <si>
    <t>2025-10-08 20:37</t>
  </si>
  <si>
    <t>2025-10-13 02:34</t>
  </si>
  <si>
    <t>2025-10-06 12:27</t>
  </si>
  <si>
    <t>2025-10-12 17:50</t>
  </si>
  <si>
    <t>2025-10-11 22:46</t>
  </si>
  <si>
    <t>2025-10-16 00:12</t>
  </si>
  <si>
    <t>2025-10-11 08:13</t>
  </si>
  <si>
    <t>2025-10-21 03:05</t>
  </si>
  <si>
    <t>2025-10-05 16:17</t>
  </si>
  <si>
    <t>2025-10-16 05:21</t>
  </si>
  <si>
    <t>2025-10-13 02:27</t>
  </si>
  <si>
    <t>2025-10-06 12:44</t>
  </si>
  <si>
    <t>2025-10-09 10:59</t>
  </si>
  <si>
    <t>2025-10-07 21:04</t>
  </si>
  <si>
    <t>2025-10-20 23:05</t>
  </si>
  <si>
    <t>2025-10-19 10:25</t>
  </si>
  <si>
    <t>2025-10-18 10:49</t>
  </si>
  <si>
    <t>2025-10-12 03:58</t>
  </si>
  <si>
    <t>2025-10-17 23:02</t>
  </si>
  <si>
    <t>2025-10-01 13:56</t>
  </si>
  <si>
    <t>2025-10-14 10:27</t>
  </si>
  <si>
    <t>2025-10-15 01:09</t>
  </si>
  <si>
    <t>2025-10-12 17:35</t>
  </si>
  <si>
    <t>2025-10-15 05:52</t>
  </si>
  <si>
    <t>2025-10-02 15:37</t>
  </si>
  <si>
    <t>2025-10-15 16:08</t>
  </si>
  <si>
    <t>2025-10-09 23:07</t>
  </si>
  <si>
    <t>2025-10-09 18:32</t>
  </si>
  <si>
    <t>2025-10-10 21:17</t>
  </si>
  <si>
    <t>2025-10-01 16:54</t>
  </si>
  <si>
    <t>2025-10-12 07:44</t>
  </si>
  <si>
    <t>2025-10-10 01:43</t>
  </si>
  <si>
    <t>2025-10-07 01:10</t>
  </si>
  <si>
    <t>2025-10-20 02:08</t>
  </si>
  <si>
    <t>2025-10-09 22:32</t>
  </si>
  <si>
    <t>2025-10-15 18:56</t>
  </si>
  <si>
    <t>2025-10-18 17:41</t>
  </si>
  <si>
    <t>2025-10-06 14:35</t>
  </si>
  <si>
    <t>2025-10-12 02:06</t>
  </si>
  <si>
    <t>2025-10-18 04:49</t>
  </si>
  <si>
    <t>2025-10-08 03:11</t>
  </si>
  <si>
    <t>2025-10-05 23:44</t>
  </si>
  <si>
    <t>2025-10-06 04:13</t>
  </si>
  <si>
    <t>2025-10-12 03:57</t>
  </si>
  <si>
    <t>2025-10-12 00:19</t>
  </si>
  <si>
    <t>2025-10-12 02:28</t>
  </si>
  <si>
    <t>2025-10-11 04:14</t>
  </si>
  <si>
    <t>2025-10-03 23:05</t>
  </si>
  <si>
    <t>2025-10-07 06:12</t>
  </si>
  <si>
    <t>2025-10-19 06:50</t>
  </si>
  <si>
    <t>2025-10-15 09:33</t>
  </si>
  <si>
    <t>2025-10-11 21:10</t>
  </si>
  <si>
    <t>2025-10-11 07:10</t>
  </si>
  <si>
    <t>2025-10-07 07:43</t>
  </si>
  <si>
    <t>2025-10-10 13:44</t>
  </si>
  <si>
    <t>2025-10-06 02:27</t>
  </si>
  <si>
    <t>2025-10-09 20:31</t>
  </si>
  <si>
    <t>2025-10-11 18:56</t>
  </si>
  <si>
    <t>2025-10-08 13:34</t>
  </si>
  <si>
    <t>2025-10-18 18:09</t>
  </si>
  <si>
    <t>2025-10-09 22:29</t>
  </si>
  <si>
    <t>2025-10-14 10:02</t>
  </si>
  <si>
    <t>2025-10-01 07:57</t>
  </si>
  <si>
    <t>2025-10-10 15:03</t>
  </si>
  <si>
    <t>2025-10-12 01:19</t>
  </si>
  <si>
    <t>2025-10-01 21:45</t>
  </si>
  <si>
    <t>2025-10-10 09:05</t>
  </si>
  <si>
    <t>2025-10-11 13:22</t>
  </si>
  <si>
    <t>2025-10-12 21:52</t>
  </si>
  <si>
    <t>2025-10-13 21:12</t>
  </si>
  <si>
    <t>2025-10-05 07:36</t>
  </si>
  <si>
    <t>2025-10-11 07:00</t>
  </si>
  <si>
    <t>2025-10-07 23:32</t>
  </si>
  <si>
    <t>2025-10-17 04:43</t>
  </si>
  <si>
    <t>Clear</t>
  </si>
  <si>
    <t>Rain</t>
  </si>
  <si>
    <t>Cloudy</t>
  </si>
  <si>
    <t>Windy</t>
  </si>
  <si>
    <t>Delayed</t>
  </si>
  <si>
    <t>On Time</t>
  </si>
  <si>
    <t>Cost_LKR</t>
  </si>
  <si>
    <t>Fuel_per_km</t>
  </si>
  <si>
    <t>Sum of Fuel_per_km</t>
  </si>
  <si>
    <t>Sum of Delay_Min</t>
  </si>
  <si>
    <t>Count of Delivery_ID</t>
  </si>
  <si>
    <t>Number of deliveries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</si>
</sst>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0" fontId="3" fillId="0" borderId="0" xfId="0" applyFont="1"/>
    <xf numFmtId="0" fontId="0" fillId="0" borderId="0" xfId="0" pivotButton="1"/>
    <xf numFmtId="0" fontId="0" fillId="0" borderId="0" xfId="0" applyNumberFormat="1"/>
    <xf numFmtId="0" fontId="0" fillId="0" borderId="1" xfId="0" applyBorder="1"/>
    <xf numFmtId="0" fontId="0" fillId="0" borderId="1" xfId="0" applyFont="1" applyBorder="1" applyAlignment="1">
      <alignment horizontal="center" vertical="top"/>
    </xf>
    <xf numFmtId="0" fontId="0" fillId="0" borderId="1" xfId="0" applyFont="1" applyBorder="1"/>
    <xf numFmtId="0" fontId="0" fillId="0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'Heatmap of Delay Levels'!$D$1</c:f>
              <c:strCache>
                <c:ptCount val="1"/>
                <c:pt idx="0">
                  <c:v>Number of deliveries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'Heatmap of Delay Levels'!$C$2:$C$7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25</c:v>
                </c:pt>
              </c:numCache>
            </c:numRef>
          </c:xVal>
          <c:yVal>
            <c:numRef>
              <c:f>'Heatmap of Delay Levels'!$D$2:$D$7</c:f>
              <c:numCache>
                <c:formatCode>General</c:formatCode>
                <c:ptCount val="6"/>
                <c:pt idx="0">
                  <c:v>87</c:v>
                </c:pt>
                <c:pt idx="1">
                  <c:v>45</c:v>
                </c:pt>
                <c:pt idx="2">
                  <c:v>43</c:v>
                </c:pt>
                <c:pt idx="3">
                  <c:v>39</c:v>
                </c:pt>
                <c:pt idx="4">
                  <c:v>44</c:v>
                </c:pt>
                <c:pt idx="5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C3-4187-A07B-93ED1646A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185055"/>
        <c:axId val="1132186975"/>
      </c:scatterChart>
      <c:valAx>
        <c:axId val="113218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86975"/>
        <c:crosses val="autoZero"/>
        <c:crossBetween val="midCat"/>
      </c:valAx>
      <c:valAx>
        <c:axId val="113218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85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[sri_lanka_delivery_dataset-221428573 (1).xlsx]Vehicle Utilisation Chart!PivotTable39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Delivery_ID by Vehicle_ID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'Vehicle Utilisation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'Vehicle Utilisation Chart'!$A$4:$A$10</c:f>
              <c:strCache>
                <c:ptCount val="7"/>
                <c:pt idx="0">
                  <c:v>V201</c:v>
                </c:pt>
                <c:pt idx="1">
                  <c:v>V202</c:v>
                </c:pt>
                <c:pt idx="2">
                  <c:v>V203</c:v>
                </c:pt>
                <c:pt idx="3">
                  <c:v>V204</c:v>
                </c:pt>
                <c:pt idx="4">
                  <c:v>V205</c:v>
                </c:pt>
                <c:pt idx="5">
                  <c:v>V206</c:v>
                </c:pt>
                <c:pt idx="6">
                  <c:v>V207</c:v>
                </c:pt>
              </c:strCache>
            </c:strRef>
          </c:cat>
          <c:val>
            <c:numRef>
              <c:f>'Vehicle Utilisation Chart'!$B$4:$B$10</c:f>
              <c:numCache>
                <c:formatCode>General</c:formatCode>
                <c:ptCount val="7"/>
                <c:pt idx="0">
                  <c:v>32</c:v>
                </c:pt>
                <c:pt idx="1">
                  <c:v>44</c:v>
                </c:pt>
                <c:pt idx="2">
                  <c:v>40</c:v>
                </c:pt>
                <c:pt idx="3">
                  <c:v>42</c:v>
                </c:pt>
                <c:pt idx="4">
                  <c:v>50</c:v>
                </c:pt>
                <c:pt idx="5">
                  <c:v>57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0-40F5-8C18-46B6A7E75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24176"/>
        <c:axId val="170015056"/>
      </c:barChart>
      <c:catAx>
        <c:axId val="17002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15056"/>
        <c:crosses val="autoZero"/>
        <c:auto val="1"/>
        <c:lblAlgn val="ctr"/>
        <c:lblOffset val="100"/>
        <c:noMultiLvlLbl val="0"/>
      </c:catAx>
      <c:valAx>
        <c:axId val="17001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2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 vs Distance Line Graph'!$B$1</c:f>
              <c:strCache>
                <c:ptCount val="1"/>
                <c:pt idx="0">
                  <c:v>Cost_LKR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 vs Distance Line Graph'!$A$2:$A$301</c:f>
              <c:numCache>
                <c:formatCode>General</c:formatCode>
                <c:ptCount val="300"/>
                <c:pt idx="0">
                  <c:v>220.3</c:v>
                </c:pt>
                <c:pt idx="1">
                  <c:v>102</c:v>
                </c:pt>
                <c:pt idx="2">
                  <c:v>81.7</c:v>
                </c:pt>
                <c:pt idx="3">
                  <c:v>30.3</c:v>
                </c:pt>
                <c:pt idx="4">
                  <c:v>93</c:v>
                </c:pt>
                <c:pt idx="5">
                  <c:v>19.100000000000001</c:v>
                </c:pt>
                <c:pt idx="6">
                  <c:v>229</c:v>
                </c:pt>
                <c:pt idx="7">
                  <c:v>90</c:v>
                </c:pt>
                <c:pt idx="8">
                  <c:v>145.30000000000001</c:v>
                </c:pt>
                <c:pt idx="9">
                  <c:v>227.3</c:v>
                </c:pt>
                <c:pt idx="10">
                  <c:v>61.4</c:v>
                </c:pt>
                <c:pt idx="11">
                  <c:v>119</c:v>
                </c:pt>
                <c:pt idx="12">
                  <c:v>145.5</c:v>
                </c:pt>
                <c:pt idx="13">
                  <c:v>28.6</c:v>
                </c:pt>
                <c:pt idx="14">
                  <c:v>107.4</c:v>
                </c:pt>
                <c:pt idx="15">
                  <c:v>201.6</c:v>
                </c:pt>
                <c:pt idx="16">
                  <c:v>143</c:v>
                </c:pt>
                <c:pt idx="17">
                  <c:v>130.1</c:v>
                </c:pt>
                <c:pt idx="18">
                  <c:v>237.1</c:v>
                </c:pt>
                <c:pt idx="19">
                  <c:v>21.8</c:v>
                </c:pt>
                <c:pt idx="20">
                  <c:v>92.9</c:v>
                </c:pt>
                <c:pt idx="21">
                  <c:v>148.69999999999999</c:v>
                </c:pt>
                <c:pt idx="22">
                  <c:v>138.30000000000001</c:v>
                </c:pt>
                <c:pt idx="23">
                  <c:v>159</c:v>
                </c:pt>
                <c:pt idx="24">
                  <c:v>87.3</c:v>
                </c:pt>
                <c:pt idx="25">
                  <c:v>242.4</c:v>
                </c:pt>
                <c:pt idx="26">
                  <c:v>15.6</c:v>
                </c:pt>
                <c:pt idx="27">
                  <c:v>234.6</c:v>
                </c:pt>
                <c:pt idx="28">
                  <c:v>36.799999999999997</c:v>
                </c:pt>
                <c:pt idx="29">
                  <c:v>93.8</c:v>
                </c:pt>
                <c:pt idx="30">
                  <c:v>33.299999999999997</c:v>
                </c:pt>
                <c:pt idx="31">
                  <c:v>209.4</c:v>
                </c:pt>
                <c:pt idx="32">
                  <c:v>124</c:v>
                </c:pt>
                <c:pt idx="33">
                  <c:v>119.3</c:v>
                </c:pt>
                <c:pt idx="34">
                  <c:v>88.1</c:v>
                </c:pt>
                <c:pt idx="35">
                  <c:v>186</c:v>
                </c:pt>
                <c:pt idx="36">
                  <c:v>84.6</c:v>
                </c:pt>
                <c:pt idx="37">
                  <c:v>194</c:v>
                </c:pt>
                <c:pt idx="38">
                  <c:v>227.2</c:v>
                </c:pt>
                <c:pt idx="39">
                  <c:v>173</c:v>
                </c:pt>
                <c:pt idx="40">
                  <c:v>25.7</c:v>
                </c:pt>
                <c:pt idx="41">
                  <c:v>144.4</c:v>
                </c:pt>
                <c:pt idx="42">
                  <c:v>223.8</c:v>
                </c:pt>
                <c:pt idx="43">
                  <c:v>120.9</c:v>
                </c:pt>
                <c:pt idx="44">
                  <c:v>164.1</c:v>
                </c:pt>
                <c:pt idx="45">
                  <c:v>142.69999999999999</c:v>
                </c:pt>
                <c:pt idx="46">
                  <c:v>179.2</c:v>
                </c:pt>
                <c:pt idx="47">
                  <c:v>30.7</c:v>
                </c:pt>
                <c:pt idx="48">
                  <c:v>92.2</c:v>
                </c:pt>
                <c:pt idx="49">
                  <c:v>97.4</c:v>
                </c:pt>
                <c:pt idx="50">
                  <c:v>93.3</c:v>
                </c:pt>
                <c:pt idx="51">
                  <c:v>88.4</c:v>
                </c:pt>
                <c:pt idx="52">
                  <c:v>85.8</c:v>
                </c:pt>
                <c:pt idx="53">
                  <c:v>94.6</c:v>
                </c:pt>
                <c:pt idx="54">
                  <c:v>234.6</c:v>
                </c:pt>
                <c:pt idx="55">
                  <c:v>153.1</c:v>
                </c:pt>
                <c:pt idx="56">
                  <c:v>124.1</c:v>
                </c:pt>
                <c:pt idx="57">
                  <c:v>42.7</c:v>
                </c:pt>
                <c:pt idx="58">
                  <c:v>50.7</c:v>
                </c:pt>
                <c:pt idx="59">
                  <c:v>64.7</c:v>
                </c:pt>
                <c:pt idx="60">
                  <c:v>239.2</c:v>
                </c:pt>
                <c:pt idx="61">
                  <c:v>146</c:v>
                </c:pt>
                <c:pt idx="62">
                  <c:v>214.1</c:v>
                </c:pt>
                <c:pt idx="63">
                  <c:v>197.6</c:v>
                </c:pt>
                <c:pt idx="64">
                  <c:v>119.8</c:v>
                </c:pt>
                <c:pt idx="65">
                  <c:v>186.5</c:v>
                </c:pt>
                <c:pt idx="66">
                  <c:v>44.2</c:v>
                </c:pt>
                <c:pt idx="67">
                  <c:v>175</c:v>
                </c:pt>
                <c:pt idx="68">
                  <c:v>224.1</c:v>
                </c:pt>
                <c:pt idx="69">
                  <c:v>36.700000000000003</c:v>
                </c:pt>
                <c:pt idx="70">
                  <c:v>208.7</c:v>
                </c:pt>
                <c:pt idx="71">
                  <c:v>208.1</c:v>
                </c:pt>
                <c:pt idx="72">
                  <c:v>221.3</c:v>
                </c:pt>
                <c:pt idx="73">
                  <c:v>110</c:v>
                </c:pt>
                <c:pt idx="74">
                  <c:v>230</c:v>
                </c:pt>
                <c:pt idx="75">
                  <c:v>173.8</c:v>
                </c:pt>
                <c:pt idx="76">
                  <c:v>198.9</c:v>
                </c:pt>
                <c:pt idx="77">
                  <c:v>212.8</c:v>
                </c:pt>
                <c:pt idx="78">
                  <c:v>233.4</c:v>
                </c:pt>
                <c:pt idx="79">
                  <c:v>126.8</c:v>
                </c:pt>
                <c:pt idx="80">
                  <c:v>220.4</c:v>
                </c:pt>
                <c:pt idx="81">
                  <c:v>44.7</c:v>
                </c:pt>
                <c:pt idx="82">
                  <c:v>107.5</c:v>
                </c:pt>
                <c:pt idx="83">
                  <c:v>238.2</c:v>
                </c:pt>
                <c:pt idx="84">
                  <c:v>237.3</c:v>
                </c:pt>
                <c:pt idx="85">
                  <c:v>15.1</c:v>
                </c:pt>
                <c:pt idx="86">
                  <c:v>24</c:v>
                </c:pt>
                <c:pt idx="87">
                  <c:v>181.9</c:v>
                </c:pt>
                <c:pt idx="88">
                  <c:v>204.5</c:v>
                </c:pt>
                <c:pt idx="89">
                  <c:v>203.8</c:v>
                </c:pt>
                <c:pt idx="90">
                  <c:v>10.3</c:v>
                </c:pt>
                <c:pt idx="91">
                  <c:v>146</c:v>
                </c:pt>
                <c:pt idx="92">
                  <c:v>127.6</c:v>
                </c:pt>
                <c:pt idx="93">
                  <c:v>31.9</c:v>
                </c:pt>
                <c:pt idx="94">
                  <c:v>13.5</c:v>
                </c:pt>
                <c:pt idx="95">
                  <c:v>195.9</c:v>
                </c:pt>
                <c:pt idx="96">
                  <c:v>207.6</c:v>
                </c:pt>
                <c:pt idx="97">
                  <c:v>159.80000000000001</c:v>
                </c:pt>
                <c:pt idx="98">
                  <c:v>227.4</c:v>
                </c:pt>
                <c:pt idx="99">
                  <c:v>135.69999999999999</c:v>
                </c:pt>
                <c:pt idx="100">
                  <c:v>167.2</c:v>
                </c:pt>
                <c:pt idx="101">
                  <c:v>27.8</c:v>
                </c:pt>
                <c:pt idx="102">
                  <c:v>64.2</c:v>
                </c:pt>
                <c:pt idx="103">
                  <c:v>120</c:v>
                </c:pt>
                <c:pt idx="104">
                  <c:v>91.8</c:v>
                </c:pt>
                <c:pt idx="105">
                  <c:v>211.6</c:v>
                </c:pt>
                <c:pt idx="106">
                  <c:v>197.6</c:v>
                </c:pt>
                <c:pt idx="107">
                  <c:v>215.4</c:v>
                </c:pt>
                <c:pt idx="108">
                  <c:v>36.299999999999997</c:v>
                </c:pt>
                <c:pt idx="109">
                  <c:v>110.5</c:v>
                </c:pt>
                <c:pt idx="110">
                  <c:v>28.2</c:v>
                </c:pt>
                <c:pt idx="111">
                  <c:v>154.1</c:v>
                </c:pt>
                <c:pt idx="112">
                  <c:v>233.3</c:v>
                </c:pt>
                <c:pt idx="113">
                  <c:v>137.6</c:v>
                </c:pt>
                <c:pt idx="114">
                  <c:v>155.1</c:v>
                </c:pt>
                <c:pt idx="115">
                  <c:v>133.9</c:v>
                </c:pt>
                <c:pt idx="116">
                  <c:v>141.5</c:v>
                </c:pt>
                <c:pt idx="117">
                  <c:v>154.9</c:v>
                </c:pt>
                <c:pt idx="118">
                  <c:v>159.5</c:v>
                </c:pt>
                <c:pt idx="119">
                  <c:v>134.4</c:v>
                </c:pt>
                <c:pt idx="120">
                  <c:v>36.6</c:v>
                </c:pt>
                <c:pt idx="121">
                  <c:v>30.2</c:v>
                </c:pt>
                <c:pt idx="122">
                  <c:v>136.30000000000001</c:v>
                </c:pt>
                <c:pt idx="123">
                  <c:v>81.599999999999994</c:v>
                </c:pt>
                <c:pt idx="124">
                  <c:v>197.6</c:v>
                </c:pt>
                <c:pt idx="125">
                  <c:v>198.4</c:v>
                </c:pt>
                <c:pt idx="126">
                  <c:v>36.4</c:v>
                </c:pt>
                <c:pt idx="127">
                  <c:v>118.2</c:v>
                </c:pt>
                <c:pt idx="128">
                  <c:v>217.8</c:v>
                </c:pt>
                <c:pt idx="129">
                  <c:v>135</c:v>
                </c:pt>
                <c:pt idx="130">
                  <c:v>188.1</c:v>
                </c:pt>
                <c:pt idx="131">
                  <c:v>48.8</c:v>
                </c:pt>
                <c:pt idx="132">
                  <c:v>108.5</c:v>
                </c:pt>
                <c:pt idx="133">
                  <c:v>206.7</c:v>
                </c:pt>
                <c:pt idx="134">
                  <c:v>217.8</c:v>
                </c:pt>
                <c:pt idx="135">
                  <c:v>237.1</c:v>
                </c:pt>
                <c:pt idx="136">
                  <c:v>146.69999999999999</c:v>
                </c:pt>
                <c:pt idx="137">
                  <c:v>179.8</c:v>
                </c:pt>
                <c:pt idx="138">
                  <c:v>106.9</c:v>
                </c:pt>
                <c:pt idx="139">
                  <c:v>164.7</c:v>
                </c:pt>
                <c:pt idx="140">
                  <c:v>229.8</c:v>
                </c:pt>
                <c:pt idx="141">
                  <c:v>121.5</c:v>
                </c:pt>
                <c:pt idx="142">
                  <c:v>232.5</c:v>
                </c:pt>
                <c:pt idx="143">
                  <c:v>124.8</c:v>
                </c:pt>
                <c:pt idx="144">
                  <c:v>134.30000000000001</c:v>
                </c:pt>
                <c:pt idx="145">
                  <c:v>163.5</c:v>
                </c:pt>
                <c:pt idx="146">
                  <c:v>13.9</c:v>
                </c:pt>
                <c:pt idx="147">
                  <c:v>181.3</c:v>
                </c:pt>
                <c:pt idx="148">
                  <c:v>209</c:v>
                </c:pt>
                <c:pt idx="149">
                  <c:v>106.9</c:v>
                </c:pt>
                <c:pt idx="150">
                  <c:v>82.1</c:v>
                </c:pt>
                <c:pt idx="151">
                  <c:v>110.5</c:v>
                </c:pt>
                <c:pt idx="152">
                  <c:v>231.1</c:v>
                </c:pt>
                <c:pt idx="153">
                  <c:v>162.6</c:v>
                </c:pt>
                <c:pt idx="154">
                  <c:v>198.6</c:v>
                </c:pt>
                <c:pt idx="155">
                  <c:v>156.6</c:v>
                </c:pt>
                <c:pt idx="156">
                  <c:v>204.9</c:v>
                </c:pt>
                <c:pt idx="157">
                  <c:v>193.6</c:v>
                </c:pt>
                <c:pt idx="158">
                  <c:v>236.9</c:v>
                </c:pt>
                <c:pt idx="159">
                  <c:v>30.6</c:v>
                </c:pt>
                <c:pt idx="160">
                  <c:v>37.299999999999997</c:v>
                </c:pt>
                <c:pt idx="161">
                  <c:v>67.3</c:v>
                </c:pt>
                <c:pt idx="162">
                  <c:v>17.7</c:v>
                </c:pt>
                <c:pt idx="163">
                  <c:v>173.9</c:v>
                </c:pt>
                <c:pt idx="164">
                  <c:v>223.3</c:v>
                </c:pt>
                <c:pt idx="165">
                  <c:v>92.2</c:v>
                </c:pt>
                <c:pt idx="166">
                  <c:v>85</c:v>
                </c:pt>
                <c:pt idx="167">
                  <c:v>179.7</c:v>
                </c:pt>
                <c:pt idx="168">
                  <c:v>201.6</c:v>
                </c:pt>
                <c:pt idx="169">
                  <c:v>164.4</c:v>
                </c:pt>
                <c:pt idx="170">
                  <c:v>222.5</c:v>
                </c:pt>
                <c:pt idx="171">
                  <c:v>58.4</c:v>
                </c:pt>
                <c:pt idx="172">
                  <c:v>80.2</c:v>
                </c:pt>
                <c:pt idx="173">
                  <c:v>105.4</c:v>
                </c:pt>
                <c:pt idx="174">
                  <c:v>202.1</c:v>
                </c:pt>
                <c:pt idx="175">
                  <c:v>146.4</c:v>
                </c:pt>
                <c:pt idx="176">
                  <c:v>241</c:v>
                </c:pt>
                <c:pt idx="177">
                  <c:v>204.7</c:v>
                </c:pt>
                <c:pt idx="178">
                  <c:v>46.7</c:v>
                </c:pt>
                <c:pt idx="179">
                  <c:v>218.7</c:v>
                </c:pt>
                <c:pt idx="180">
                  <c:v>80.5</c:v>
                </c:pt>
                <c:pt idx="181">
                  <c:v>18.899999999999999</c:v>
                </c:pt>
                <c:pt idx="182">
                  <c:v>66.5</c:v>
                </c:pt>
                <c:pt idx="183">
                  <c:v>46.4</c:v>
                </c:pt>
                <c:pt idx="184">
                  <c:v>94</c:v>
                </c:pt>
                <c:pt idx="185">
                  <c:v>127.1</c:v>
                </c:pt>
                <c:pt idx="186">
                  <c:v>34.200000000000003</c:v>
                </c:pt>
                <c:pt idx="187">
                  <c:v>81.5</c:v>
                </c:pt>
                <c:pt idx="188">
                  <c:v>18.2</c:v>
                </c:pt>
                <c:pt idx="189">
                  <c:v>67.900000000000006</c:v>
                </c:pt>
                <c:pt idx="190">
                  <c:v>76</c:v>
                </c:pt>
                <c:pt idx="191">
                  <c:v>152.30000000000001</c:v>
                </c:pt>
                <c:pt idx="192">
                  <c:v>182.3</c:v>
                </c:pt>
                <c:pt idx="193">
                  <c:v>19.3</c:v>
                </c:pt>
                <c:pt idx="194">
                  <c:v>48.4</c:v>
                </c:pt>
                <c:pt idx="195">
                  <c:v>210.1</c:v>
                </c:pt>
                <c:pt idx="196">
                  <c:v>121.3</c:v>
                </c:pt>
                <c:pt idx="197">
                  <c:v>243.7</c:v>
                </c:pt>
                <c:pt idx="198">
                  <c:v>120.7</c:v>
                </c:pt>
                <c:pt idx="199">
                  <c:v>145.9</c:v>
                </c:pt>
                <c:pt idx="200">
                  <c:v>245.9</c:v>
                </c:pt>
                <c:pt idx="201">
                  <c:v>125.5</c:v>
                </c:pt>
                <c:pt idx="202">
                  <c:v>177.1</c:v>
                </c:pt>
                <c:pt idx="203">
                  <c:v>210.5</c:v>
                </c:pt>
                <c:pt idx="204">
                  <c:v>210.9</c:v>
                </c:pt>
                <c:pt idx="205">
                  <c:v>93.1</c:v>
                </c:pt>
                <c:pt idx="206">
                  <c:v>189.2</c:v>
                </c:pt>
                <c:pt idx="207">
                  <c:v>113.2</c:v>
                </c:pt>
                <c:pt idx="208">
                  <c:v>83.3</c:v>
                </c:pt>
                <c:pt idx="209">
                  <c:v>25.6</c:v>
                </c:pt>
                <c:pt idx="210">
                  <c:v>220.7</c:v>
                </c:pt>
                <c:pt idx="211">
                  <c:v>73.5</c:v>
                </c:pt>
                <c:pt idx="212">
                  <c:v>57.5</c:v>
                </c:pt>
                <c:pt idx="213">
                  <c:v>166.5</c:v>
                </c:pt>
                <c:pt idx="214">
                  <c:v>168.6</c:v>
                </c:pt>
                <c:pt idx="215">
                  <c:v>150.5</c:v>
                </c:pt>
                <c:pt idx="216">
                  <c:v>236.8</c:v>
                </c:pt>
                <c:pt idx="217">
                  <c:v>196.2</c:v>
                </c:pt>
                <c:pt idx="218">
                  <c:v>98.3</c:v>
                </c:pt>
                <c:pt idx="219">
                  <c:v>31</c:v>
                </c:pt>
                <c:pt idx="220">
                  <c:v>139.5</c:v>
                </c:pt>
                <c:pt idx="221">
                  <c:v>129.5</c:v>
                </c:pt>
                <c:pt idx="222">
                  <c:v>229.9</c:v>
                </c:pt>
                <c:pt idx="223">
                  <c:v>74.7</c:v>
                </c:pt>
                <c:pt idx="224">
                  <c:v>151.4</c:v>
                </c:pt>
                <c:pt idx="225">
                  <c:v>150.19999999999999</c:v>
                </c:pt>
                <c:pt idx="226">
                  <c:v>163</c:v>
                </c:pt>
                <c:pt idx="227">
                  <c:v>101.3</c:v>
                </c:pt>
                <c:pt idx="228">
                  <c:v>61.8</c:v>
                </c:pt>
                <c:pt idx="229">
                  <c:v>25.7</c:v>
                </c:pt>
                <c:pt idx="230">
                  <c:v>10.9</c:v>
                </c:pt>
                <c:pt idx="231">
                  <c:v>225.3</c:v>
                </c:pt>
                <c:pt idx="232">
                  <c:v>131.9</c:v>
                </c:pt>
                <c:pt idx="233">
                  <c:v>219</c:v>
                </c:pt>
                <c:pt idx="234">
                  <c:v>24</c:v>
                </c:pt>
                <c:pt idx="235">
                  <c:v>183</c:v>
                </c:pt>
                <c:pt idx="236">
                  <c:v>133.80000000000001</c:v>
                </c:pt>
                <c:pt idx="237">
                  <c:v>22.1</c:v>
                </c:pt>
                <c:pt idx="238">
                  <c:v>163.9</c:v>
                </c:pt>
                <c:pt idx="239">
                  <c:v>96.2</c:v>
                </c:pt>
                <c:pt idx="240">
                  <c:v>226.8</c:v>
                </c:pt>
                <c:pt idx="241">
                  <c:v>134.6</c:v>
                </c:pt>
                <c:pt idx="242">
                  <c:v>16.600000000000001</c:v>
                </c:pt>
                <c:pt idx="243">
                  <c:v>142.9</c:v>
                </c:pt>
                <c:pt idx="244">
                  <c:v>184.6</c:v>
                </c:pt>
                <c:pt idx="245">
                  <c:v>52.9</c:v>
                </c:pt>
                <c:pt idx="246">
                  <c:v>77.5</c:v>
                </c:pt>
                <c:pt idx="247">
                  <c:v>179.3</c:v>
                </c:pt>
                <c:pt idx="248">
                  <c:v>78.2</c:v>
                </c:pt>
                <c:pt idx="249">
                  <c:v>57.1</c:v>
                </c:pt>
                <c:pt idx="250">
                  <c:v>166.9</c:v>
                </c:pt>
                <c:pt idx="251">
                  <c:v>194.6</c:v>
                </c:pt>
                <c:pt idx="252">
                  <c:v>122.9</c:v>
                </c:pt>
                <c:pt idx="253">
                  <c:v>99.1</c:v>
                </c:pt>
                <c:pt idx="254">
                  <c:v>187.8</c:v>
                </c:pt>
                <c:pt idx="255">
                  <c:v>40.200000000000003</c:v>
                </c:pt>
                <c:pt idx="256">
                  <c:v>143.1</c:v>
                </c:pt>
                <c:pt idx="257">
                  <c:v>31.9</c:v>
                </c:pt>
                <c:pt idx="258">
                  <c:v>19.100000000000001</c:v>
                </c:pt>
                <c:pt idx="259">
                  <c:v>85.8</c:v>
                </c:pt>
                <c:pt idx="260">
                  <c:v>170.5</c:v>
                </c:pt>
                <c:pt idx="261">
                  <c:v>148.19999999999999</c:v>
                </c:pt>
                <c:pt idx="262">
                  <c:v>48.8</c:v>
                </c:pt>
                <c:pt idx="263">
                  <c:v>109.7</c:v>
                </c:pt>
                <c:pt idx="264">
                  <c:v>227.8</c:v>
                </c:pt>
                <c:pt idx="265">
                  <c:v>42.9</c:v>
                </c:pt>
                <c:pt idx="266">
                  <c:v>137.80000000000001</c:v>
                </c:pt>
                <c:pt idx="267">
                  <c:v>42.5</c:v>
                </c:pt>
                <c:pt idx="268">
                  <c:v>224</c:v>
                </c:pt>
                <c:pt idx="269">
                  <c:v>133.30000000000001</c:v>
                </c:pt>
                <c:pt idx="270">
                  <c:v>165.9</c:v>
                </c:pt>
                <c:pt idx="271">
                  <c:v>18.399999999999999</c:v>
                </c:pt>
                <c:pt idx="272">
                  <c:v>103</c:v>
                </c:pt>
                <c:pt idx="273">
                  <c:v>134.30000000000001</c:v>
                </c:pt>
                <c:pt idx="274">
                  <c:v>74.099999999999994</c:v>
                </c:pt>
                <c:pt idx="275">
                  <c:v>123</c:v>
                </c:pt>
                <c:pt idx="276">
                  <c:v>208.6</c:v>
                </c:pt>
                <c:pt idx="277">
                  <c:v>235.5</c:v>
                </c:pt>
                <c:pt idx="278">
                  <c:v>38.299999999999997</c:v>
                </c:pt>
                <c:pt idx="279">
                  <c:v>226.9</c:v>
                </c:pt>
                <c:pt idx="280">
                  <c:v>94.9</c:v>
                </c:pt>
                <c:pt idx="281">
                  <c:v>195</c:v>
                </c:pt>
                <c:pt idx="282">
                  <c:v>43.3</c:v>
                </c:pt>
                <c:pt idx="283">
                  <c:v>125.3</c:v>
                </c:pt>
                <c:pt idx="284">
                  <c:v>35</c:v>
                </c:pt>
                <c:pt idx="285">
                  <c:v>133.69999999999999</c:v>
                </c:pt>
                <c:pt idx="286">
                  <c:v>200.9</c:v>
                </c:pt>
                <c:pt idx="287">
                  <c:v>211.3</c:v>
                </c:pt>
                <c:pt idx="288">
                  <c:v>158.80000000000001</c:v>
                </c:pt>
                <c:pt idx="289">
                  <c:v>13.8</c:v>
                </c:pt>
                <c:pt idx="290">
                  <c:v>239</c:v>
                </c:pt>
                <c:pt idx="291">
                  <c:v>32.799999999999997</c:v>
                </c:pt>
                <c:pt idx="292">
                  <c:v>198.9</c:v>
                </c:pt>
                <c:pt idx="293">
                  <c:v>238.2</c:v>
                </c:pt>
                <c:pt idx="294">
                  <c:v>74.099999999999994</c:v>
                </c:pt>
                <c:pt idx="295">
                  <c:v>155.4</c:v>
                </c:pt>
                <c:pt idx="296">
                  <c:v>46.7</c:v>
                </c:pt>
                <c:pt idx="297">
                  <c:v>194.3</c:v>
                </c:pt>
                <c:pt idx="298">
                  <c:v>153.9</c:v>
                </c:pt>
                <c:pt idx="299">
                  <c:v>124.2</c:v>
                </c:pt>
              </c:numCache>
            </c:numRef>
          </c:xVal>
          <c:yVal>
            <c:numRef>
              <c:f>'Cost vs Distance Line Graph'!$B$2:$B$301</c:f>
              <c:numCache>
                <c:formatCode>_(* #,##0.00_);_(* \(#,##0.00\);_(* "-"??_);_(@_)</c:formatCode>
                <c:ptCount val="300"/>
                <c:pt idx="0">
                  <c:v>6999.79</c:v>
                </c:pt>
                <c:pt idx="1">
                  <c:v>3789.36</c:v>
                </c:pt>
                <c:pt idx="2">
                  <c:v>2714.6000000000004</c:v>
                </c:pt>
                <c:pt idx="3">
                  <c:v>1337.91</c:v>
                </c:pt>
                <c:pt idx="4">
                  <c:v>3645.32</c:v>
                </c:pt>
                <c:pt idx="5">
                  <c:v>878.09</c:v>
                </c:pt>
                <c:pt idx="6">
                  <c:v>8836.2999999999993</c:v>
                </c:pt>
                <c:pt idx="7">
                  <c:v>3260.29</c:v>
                </c:pt>
                <c:pt idx="8">
                  <c:v>5451.36</c:v>
                </c:pt>
                <c:pt idx="9">
                  <c:v>8190.89</c:v>
                </c:pt>
                <c:pt idx="10">
                  <c:v>1983.32</c:v>
                </c:pt>
                <c:pt idx="11">
                  <c:v>4304.58</c:v>
                </c:pt>
                <c:pt idx="12">
                  <c:v>5354.41</c:v>
                </c:pt>
                <c:pt idx="13">
                  <c:v>1030.44</c:v>
                </c:pt>
                <c:pt idx="14">
                  <c:v>3950.02</c:v>
                </c:pt>
                <c:pt idx="15">
                  <c:v>6418.09</c:v>
                </c:pt>
                <c:pt idx="16">
                  <c:v>4999.8500000000004</c:v>
                </c:pt>
                <c:pt idx="17">
                  <c:v>5925.03</c:v>
                </c:pt>
                <c:pt idx="18">
                  <c:v>10146.51</c:v>
                </c:pt>
                <c:pt idx="19">
                  <c:v>767.29</c:v>
                </c:pt>
                <c:pt idx="20">
                  <c:v>3409.8700000000003</c:v>
                </c:pt>
                <c:pt idx="21">
                  <c:v>4600.97</c:v>
                </c:pt>
                <c:pt idx="22">
                  <c:v>4670.22</c:v>
                </c:pt>
                <c:pt idx="23">
                  <c:v>6055.22</c:v>
                </c:pt>
                <c:pt idx="24">
                  <c:v>2778.31</c:v>
                </c:pt>
                <c:pt idx="25">
                  <c:v>10647.88</c:v>
                </c:pt>
                <c:pt idx="26">
                  <c:v>684.19</c:v>
                </c:pt>
                <c:pt idx="27">
                  <c:v>10736.519999999999</c:v>
                </c:pt>
                <c:pt idx="28">
                  <c:v>1168.9399999999998</c:v>
                </c:pt>
                <c:pt idx="29">
                  <c:v>3645.32</c:v>
                </c:pt>
                <c:pt idx="30">
                  <c:v>1340.68</c:v>
                </c:pt>
                <c:pt idx="31">
                  <c:v>7376.5099999999993</c:v>
                </c:pt>
                <c:pt idx="32">
                  <c:v>5174.3599999999997</c:v>
                </c:pt>
                <c:pt idx="33">
                  <c:v>5210.37</c:v>
                </c:pt>
                <c:pt idx="34">
                  <c:v>2916.81</c:v>
                </c:pt>
                <c:pt idx="35">
                  <c:v>7645.2000000000007</c:v>
                </c:pt>
                <c:pt idx="36">
                  <c:v>3099.6299999999997</c:v>
                </c:pt>
                <c:pt idx="37">
                  <c:v>6985.94</c:v>
                </c:pt>
                <c:pt idx="38">
                  <c:v>8118.87</c:v>
                </c:pt>
                <c:pt idx="39">
                  <c:v>5999.82</c:v>
                </c:pt>
                <c:pt idx="40">
                  <c:v>817.15000000000009</c:v>
                </c:pt>
                <c:pt idx="41">
                  <c:v>5672.96</c:v>
                </c:pt>
                <c:pt idx="42">
                  <c:v>7714.4500000000007</c:v>
                </c:pt>
                <c:pt idx="43">
                  <c:v>4002.6499999999996</c:v>
                </c:pt>
                <c:pt idx="44">
                  <c:v>5179.8999999999996</c:v>
                </c:pt>
                <c:pt idx="45">
                  <c:v>6587.06</c:v>
                </c:pt>
                <c:pt idx="46">
                  <c:v>6290.67</c:v>
                </c:pt>
                <c:pt idx="47">
                  <c:v>991.66</c:v>
                </c:pt>
                <c:pt idx="48">
                  <c:v>3227.05</c:v>
                </c:pt>
                <c:pt idx="49">
                  <c:v>3268.6000000000004</c:v>
                </c:pt>
                <c:pt idx="50">
                  <c:v>3739.5</c:v>
                </c:pt>
                <c:pt idx="51">
                  <c:v>2991.6000000000004</c:v>
                </c:pt>
                <c:pt idx="52">
                  <c:v>3013.76</c:v>
                </c:pt>
                <c:pt idx="53">
                  <c:v>4044.2</c:v>
                </c:pt>
                <c:pt idx="54">
                  <c:v>9246.26</c:v>
                </c:pt>
                <c:pt idx="55">
                  <c:v>5656.34</c:v>
                </c:pt>
                <c:pt idx="56">
                  <c:v>5625.87</c:v>
                </c:pt>
                <c:pt idx="57">
                  <c:v>1529.04</c:v>
                </c:pt>
                <c:pt idx="58">
                  <c:v>1997.17</c:v>
                </c:pt>
                <c:pt idx="59">
                  <c:v>2853.1000000000004</c:v>
                </c:pt>
                <c:pt idx="60">
                  <c:v>8071.78</c:v>
                </c:pt>
                <c:pt idx="61">
                  <c:v>5961.04</c:v>
                </c:pt>
                <c:pt idx="62">
                  <c:v>8398.64</c:v>
                </c:pt>
                <c:pt idx="63">
                  <c:v>9121.61</c:v>
                </c:pt>
                <c:pt idx="64">
                  <c:v>4263.03</c:v>
                </c:pt>
                <c:pt idx="65">
                  <c:v>7340.5</c:v>
                </c:pt>
                <c:pt idx="66">
                  <c:v>1999.9399999999998</c:v>
                </c:pt>
                <c:pt idx="67">
                  <c:v>6545.5099999999993</c:v>
                </c:pt>
                <c:pt idx="68">
                  <c:v>8099.48</c:v>
                </c:pt>
                <c:pt idx="69">
                  <c:v>1667.54</c:v>
                </c:pt>
                <c:pt idx="70">
                  <c:v>8772.59</c:v>
                </c:pt>
                <c:pt idx="71">
                  <c:v>8850.15</c:v>
                </c:pt>
                <c:pt idx="72">
                  <c:v>8232.44</c:v>
                </c:pt>
                <c:pt idx="73">
                  <c:v>4382.1400000000003</c:v>
                </c:pt>
                <c:pt idx="74">
                  <c:v>9437.39</c:v>
                </c:pt>
                <c:pt idx="75">
                  <c:v>5443.0499999999993</c:v>
                </c:pt>
                <c:pt idx="76">
                  <c:v>6805.89</c:v>
                </c:pt>
                <c:pt idx="77">
                  <c:v>9586.9699999999993</c:v>
                </c:pt>
                <c:pt idx="78">
                  <c:v>9321.0499999999993</c:v>
                </c:pt>
                <c:pt idx="79">
                  <c:v>4204.8599999999997</c:v>
                </c:pt>
                <c:pt idx="80">
                  <c:v>6830.82</c:v>
                </c:pt>
                <c:pt idx="81">
                  <c:v>1673.08</c:v>
                </c:pt>
                <c:pt idx="82">
                  <c:v>3969.41</c:v>
                </c:pt>
                <c:pt idx="83">
                  <c:v>9409.69</c:v>
                </c:pt>
                <c:pt idx="84">
                  <c:v>9240.7199999999993</c:v>
                </c:pt>
                <c:pt idx="85">
                  <c:v>645.41</c:v>
                </c:pt>
                <c:pt idx="86">
                  <c:v>886.40000000000009</c:v>
                </c:pt>
                <c:pt idx="87">
                  <c:v>6922.23</c:v>
                </c:pt>
                <c:pt idx="88">
                  <c:v>9027.43</c:v>
                </c:pt>
                <c:pt idx="89">
                  <c:v>6941.62</c:v>
                </c:pt>
                <c:pt idx="90">
                  <c:v>393.34</c:v>
                </c:pt>
                <c:pt idx="91">
                  <c:v>4609.28</c:v>
                </c:pt>
                <c:pt idx="92">
                  <c:v>4279.6499999999996</c:v>
                </c:pt>
                <c:pt idx="93">
                  <c:v>1218.8000000000002</c:v>
                </c:pt>
                <c:pt idx="94">
                  <c:v>443.20000000000005</c:v>
                </c:pt>
                <c:pt idx="95">
                  <c:v>6792.04</c:v>
                </c:pt>
                <c:pt idx="96">
                  <c:v>7758.77</c:v>
                </c:pt>
                <c:pt idx="97">
                  <c:v>7063.5</c:v>
                </c:pt>
                <c:pt idx="98">
                  <c:v>7600.88</c:v>
                </c:pt>
                <c:pt idx="99">
                  <c:v>4758.8599999999997</c:v>
                </c:pt>
                <c:pt idx="100">
                  <c:v>5636.9500000000007</c:v>
                </c:pt>
                <c:pt idx="101">
                  <c:v>1224.3399999999999</c:v>
                </c:pt>
                <c:pt idx="102">
                  <c:v>2396.0500000000002</c:v>
                </c:pt>
                <c:pt idx="103">
                  <c:v>4318.43</c:v>
                </c:pt>
                <c:pt idx="104">
                  <c:v>3700.72</c:v>
                </c:pt>
                <c:pt idx="105">
                  <c:v>8429.11</c:v>
                </c:pt>
                <c:pt idx="106">
                  <c:v>8091.17</c:v>
                </c:pt>
                <c:pt idx="107">
                  <c:v>8207.51</c:v>
                </c:pt>
                <c:pt idx="108">
                  <c:v>1387.77</c:v>
                </c:pt>
                <c:pt idx="109">
                  <c:v>4138.38</c:v>
                </c:pt>
                <c:pt idx="110">
                  <c:v>1116.3100000000002</c:v>
                </c:pt>
                <c:pt idx="111">
                  <c:v>6747.72</c:v>
                </c:pt>
                <c:pt idx="112">
                  <c:v>9235.18</c:v>
                </c:pt>
                <c:pt idx="113">
                  <c:v>5855.78</c:v>
                </c:pt>
                <c:pt idx="114">
                  <c:v>5927.7999999999993</c:v>
                </c:pt>
                <c:pt idx="115">
                  <c:v>5307.32</c:v>
                </c:pt>
                <c:pt idx="116">
                  <c:v>4462.47</c:v>
                </c:pt>
                <c:pt idx="117">
                  <c:v>5110.6499999999996</c:v>
                </c:pt>
                <c:pt idx="118">
                  <c:v>5146.66</c:v>
                </c:pt>
                <c:pt idx="119">
                  <c:v>5678.5</c:v>
                </c:pt>
                <c:pt idx="120">
                  <c:v>1138.47</c:v>
                </c:pt>
                <c:pt idx="121">
                  <c:v>1066.45</c:v>
                </c:pt>
                <c:pt idx="122">
                  <c:v>4589.8900000000003</c:v>
                </c:pt>
                <c:pt idx="123">
                  <c:v>3443.11</c:v>
                </c:pt>
                <c:pt idx="124">
                  <c:v>6357.15</c:v>
                </c:pt>
                <c:pt idx="125">
                  <c:v>8016.38</c:v>
                </c:pt>
                <c:pt idx="126">
                  <c:v>1351.76</c:v>
                </c:pt>
                <c:pt idx="127">
                  <c:v>4246.41</c:v>
                </c:pt>
                <c:pt idx="128">
                  <c:v>8733.81</c:v>
                </c:pt>
                <c:pt idx="129">
                  <c:v>4589.8900000000003</c:v>
                </c:pt>
                <c:pt idx="130">
                  <c:v>6672.93</c:v>
                </c:pt>
                <c:pt idx="131">
                  <c:v>1709.09</c:v>
                </c:pt>
                <c:pt idx="132">
                  <c:v>3733.96</c:v>
                </c:pt>
                <c:pt idx="133">
                  <c:v>9454.01</c:v>
                </c:pt>
                <c:pt idx="134">
                  <c:v>8783.67</c:v>
                </c:pt>
                <c:pt idx="135">
                  <c:v>9304.43</c:v>
                </c:pt>
                <c:pt idx="136">
                  <c:v>4733.93</c:v>
                </c:pt>
                <c:pt idx="137">
                  <c:v>6102.31</c:v>
                </c:pt>
                <c:pt idx="138">
                  <c:v>4894.59</c:v>
                </c:pt>
                <c:pt idx="139">
                  <c:v>5958.27</c:v>
                </c:pt>
                <c:pt idx="140">
                  <c:v>9285.0400000000009</c:v>
                </c:pt>
                <c:pt idx="141">
                  <c:v>4883.5099999999993</c:v>
                </c:pt>
                <c:pt idx="142">
                  <c:v>10692.2</c:v>
                </c:pt>
                <c:pt idx="143">
                  <c:v>4578.8100000000004</c:v>
                </c:pt>
                <c:pt idx="144">
                  <c:v>4958.2999999999993</c:v>
                </c:pt>
                <c:pt idx="145">
                  <c:v>6069.07</c:v>
                </c:pt>
                <c:pt idx="146">
                  <c:v>529.06999999999994</c:v>
                </c:pt>
                <c:pt idx="147">
                  <c:v>7708.91</c:v>
                </c:pt>
                <c:pt idx="148">
                  <c:v>9309.9699999999993</c:v>
                </c:pt>
                <c:pt idx="149">
                  <c:v>4301.8099999999995</c:v>
                </c:pt>
                <c:pt idx="150">
                  <c:v>2612.11</c:v>
                </c:pt>
                <c:pt idx="151">
                  <c:v>3448.6499999999996</c:v>
                </c:pt>
                <c:pt idx="152">
                  <c:v>9379.2199999999993</c:v>
                </c:pt>
                <c:pt idx="153">
                  <c:v>5930.57</c:v>
                </c:pt>
                <c:pt idx="154">
                  <c:v>8506.67</c:v>
                </c:pt>
                <c:pt idx="155">
                  <c:v>5850.2400000000007</c:v>
                </c:pt>
                <c:pt idx="156">
                  <c:v>7141.06</c:v>
                </c:pt>
                <c:pt idx="157">
                  <c:v>6196.4900000000007</c:v>
                </c:pt>
                <c:pt idx="158">
                  <c:v>8550.99</c:v>
                </c:pt>
                <c:pt idx="159">
                  <c:v>1337.91</c:v>
                </c:pt>
                <c:pt idx="160">
                  <c:v>1171.71</c:v>
                </c:pt>
                <c:pt idx="161">
                  <c:v>2188.3000000000002</c:v>
                </c:pt>
                <c:pt idx="162">
                  <c:v>675.88</c:v>
                </c:pt>
                <c:pt idx="163">
                  <c:v>6742.18</c:v>
                </c:pt>
                <c:pt idx="164">
                  <c:v>8442.9600000000009</c:v>
                </c:pt>
                <c:pt idx="165">
                  <c:v>4005.42</c:v>
                </c:pt>
                <c:pt idx="166">
                  <c:v>2833.71</c:v>
                </c:pt>
                <c:pt idx="167">
                  <c:v>7764.31</c:v>
                </c:pt>
                <c:pt idx="168">
                  <c:v>8093.94</c:v>
                </c:pt>
                <c:pt idx="169">
                  <c:v>5949.96</c:v>
                </c:pt>
                <c:pt idx="170">
                  <c:v>6955.47</c:v>
                </c:pt>
                <c:pt idx="171">
                  <c:v>2022.1</c:v>
                </c:pt>
                <c:pt idx="172">
                  <c:v>2661.97</c:v>
                </c:pt>
                <c:pt idx="173">
                  <c:v>3426.49</c:v>
                </c:pt>
                <c:pt idx="174">
                  <c:v>6509.5</c:v>
                </c:pt>
                <c:pt idx="175">
                  <c:v>6199.2599999999993</c:v>
                </c:pt>
                <c:pt idx="176">
                  <c:v>11099.39</c:v>
                </c:pt>
                <c:pt idx="177">
                  <c:v>6492.88</c:v>
                </c:pt>
                <c:pt idx="178">
                  <c:v>2071.96</c:v>
                </c:pt>
                <c:pt idx="179">
                  <c:v>8894.4699999999993</c:v>
                </c:pt>
                <c:pt idx="180">
                  <c:v>3310.1499999999996</c:v>
                </c:pt>
                <c:pt idx="181">
                  <c:v>686.96</c:v>
                </c:pt>
                <c:pt idx="182">
                  <c:v>2393.2800000000002</c:v>
                </c:pt>
                <c:pt idx="183">
                  <c:v>2063.65</c:v>
                </c:pt>
                <c:pt idx="184">
                  <c:v>3066.39</c:v>
                </c:pt>
                <c:pt idx="185">
                  <c:v>4213.17</c:v>
                </c:pt>
                <c:pt idx="186">
                  <c:v>1202.18</c:v>
                </c:pt>
                <c:pt idx="187">
                  <c:v>2830.94</c:v>
                </c:pt>
                <c:pt idx="188">
                  <c:v>750.67</c:v>
                </c:pt>
                <c:pt idx="189">
                  <c:v>2908.5</c:v>
                </c:pt>
                <c:pt idx="190">
                  <c:v>3002.68</c:v>
                </c:pt>
                <c:pt idx="191">
                  <c:v>5905.64</c:v>
                </c:pt>
                <c:pt idx="192">
                  <c:v>5792.07</c:v>
                </c:pt>
                <c:pt idx="193">
                  <c:v>692.5</c:v>
                </c:pt>
                <c:pt idx="194">
                  <c:v>1747.87</c:v>
                </c:pt>
                <c:pt idx="195">
                  <c:v>8157.65</c:v>
                </c:pt>
                <c:pt idx="196">
                  <c:v>4897.3599999999997</c:v>
                </c:pt>
                <c:pt idx="197">
                  <c:v>9174.24</c:v>
                </c:pt>
                <c:pt idx="198">
                  <c:v>4454.16</c:v>
                </c:pt>
                <c:pt idx="199">
                  <c:v>5750.52</c:v>
                </c:pt>
                <c:pt idx="200">
                  <c:v>9888.9000000000015</c:v>
                </c:pt>
                <c:pt idx="201">
                  <c:v>5454.13</c:v>
                </c:pt>
                <c:pt idx="202">
                  <c:v>7625.81</c:v>
                </c:pt>
                <c:pt idx="203">
                  <c:v>8656.25</c:v>
                </c:pt>
                <c:pt idx="204">
                  <c:v>7418.06</c:v>
                </c:pt>
                <c:pt idx="205">
                  <c:v>3717.34</c:v>
                </c:pt>
                <c:pt idx="206">
                  <c:v>8237.98</c:v>
                </c:pt>
                <c:pt idx="207">
                  <c:v>3528.98</c:v>
                </c:pt>
                <c:pt idx="208">
                  <c:v>3667.48</c:v>
                </c:pt>
                <c:pt idx="209">
                  <c:v>925.18</c:v>
                </c:pt>
                <c:pt idx="210">
                  <c:v>7121.67</c:v>
                </c:pt>
                <c:pt idx="211">
                  <c:v>3354.47</c:v>
                </c:pt>
                <c:pt idx="212">
                  <c:v>2149.52</c:v>
                </c:pt>
                <c:pt idx="213">
                  <c:v>5451.36</c:v>
                </c:pt>
                <c:pt idx="214">
                  <c:v>5792.07</c:v>
                </c:pt>
                <c:pt idx="215">
                  <c:v>6811.43</c:v>
                </c:pt>
                <c:pt idx="216">
                  <c:v>8559.2999999999993</c:v>
                </c:pt>
                <c:pt idx="217">
                  <c:v>7379.28</c:v>
                </c:pt>
                <c:pt idx="218">
                  <c:v>3581.61</c:v>
                </c:pt>
                <c:pt idx="219">
                  <c:v>1171.71</c:v>
                </c:pt>
                <c:pt idx="220">
                  <c:v>4434.7700000000004</c:v>
                </c:pt>
                <c:pt idx="221">
                  <c:v>4027.58</c:v>
                </c:pt>
                <c:pt idx="222">
                  <c:v>9218.56</c:v>
                </c:pt>
                <c:pt idx="223">
                  <c:v>2861.41</c:v>
                </c:pt>
                <c:pt idx="224">
                  <c:v>6880.68</c:v>
                </c:pt>
                <c:pt idx="225">
                  <c:v>5434.7400000000007</c:v>
                </c:pt>
                <c:pt idx="226">
                  <c:v>7307.2599999999993</c:v>
                </c:pt>
                <c:pt idx="227">
                  <c:v>4033.1200000000003</c:v>
                </c:pt>
                <c:pt idx="228">
                  <c:v>2620.42</c:v>
                </c:pt>
                <c:pt idx="229">
                  <c:v>817.15000000000009</c:v>
                </c:pt>
                <c:pt idx="230">
                  <c:v>398.88</c:v>
                </c:pt>
                <c:pt idx="231">
                  <c:v>7542.71</c:v>
                </c:pt>
                <c:pt idx="232">
                  <c:v>4066.36</c:v>
                </c:pt>
                <c:pt idx="233">
                  <c:v>7933.28</c:v>
                </c:pt>
                <c:pt idx="234">
                  <c:v>806.07</c:v>
                </c:pt>
                <c:pt idx="235">
                  <c:v>6866.83</c:v>
                </c:pt>
                <c:pt idx="236">
                  <c:v>6096.77</c:v>
                </c:pt>
                <c:pt idx="237">
                  <c:v>900.25</c:v>
                </c:pt>
                <c:pt idx="238">
                  <c:v>5409.81</c:v>
                </c:pt>
                <c:pt idx="239">
                  <c:v>3468.04</c:v>
                </c:pt>
                <c:pt idx="240">
                  <c:v>9132.69</c:v>
                </c:pt>
                <c:pt idx="241">
                  <c:v>4675.7599999999993</c:v>
                </c:pt>
                <c:pt idx="242">
                  <c:v>662.03000000000009</c:v>
                </c:pt>
                <c:pt idx="243">
                  <c:v>5243.61</c:v>
                </c:pt>
                <c:pt idx="244">
                  <c:v>7024.72</c:v>
                </c:pt>
                <c:pt idx="245">
                  <c:v>2384.9699999999998</c:v>
                </c:pt>
                <c:pt idx="246">
                  <c:v>2911.27</c:v>
                </c:pt>
                <c:pt idx="247">
                  <c:v>5941.65</c:v>
                </c:pt>
                <c:pt idx="248">
                  <c:v>3429.26</c:v>
                </c:pt>
                <c:pt idx="249">
                  <c:v>2296.33</c:v>
                </c:pt>
                <c:pt idx="250">
                  <c:v>5420.89</c:v>
                </c:pt>
                <c:pt idx="251">
                  <c:v>7487.31</c:v>
                </c:pt>
                <c:pt idx="252">
                  <c:v>5005.3900000000003</c:v>
                </c:pt>
                <c:pt idx="253">
                  <c:v>3589.92</c:v>
                </c:pt>
                <c:pt idx="254">
                  <c:v>6041.37</c:v>
                </c:pt>
                <c:pt idx="255">
                  <c:v>1811.58</c:v>
                </c:pt>
                <c:pt idx="256">
                  <c:v>5035.8599999999997</c:v>
                </c:pt>
                <c:pt idx="257">
                  <c:v>1016.59</c:v>
                </c:pt>
                <c:pt idx="258">
                  <c:v>761.75</c:v>
                </c:pt>
                <c:pt idx="259">
                  <c:v>3476.3500000000004</c:v>
                </c:pt>
                <c:pt idx="260">
                  <c:v>7767.08</c:v>
                </c:pt>
                <c:pt idx="261">
                  <c:v>5927.7999999999993</c:v>
                </c:pt>
                <c:pt idx="262">
                  <c:v>1548.43</c:v>
                </c:pt>
                <c:pt idx="263">
                  <c:v>4157.7699999999995</c:v>
                </c:pt>
                <c:pt idx="264">
                  <c:v>7830.79</c:v>
                </c:pt>
                <c:pt idx="265">
                  <c:v>1797.73</c:v>
                </c:pt>
                <c:pt idx="266">
                  <c:v>5285.16</c:v>
                </c:pt>
                <c:pt idx="267">
                  <c:v>1365.61</c:v>
                </c:pt>
                <c:pt idx="268">
                  <c:v>8645.17</c:v>
                </c:pt>
                <c:pt idx="269">
                  <c:v>5877.94</c:v>
                </c:pt>
                <c:pt idx="270">
                  <c:v>6941.62</c:v>
                </c:pt>
                <c:pt idx="271">
                  <c:v>581.70000000000005</c:v>
                </c:pt>
                <c:pt idx="272">
                  <c:v>3390.48</c:v>
                </c:pt>
                <c:pt idx="273">
                  <c:v>4152.2300000000005</c:v>
                </c:pt>
                <c:pt idx="274">
                  <c:v>2551.17</c:v>
                </c:pt>
                <c:pt idx="275">
                  <c:v>3927.86</c:v>
                </c:pt>
                <c:pt idx="276">
                  <c:v>8827.99</c:v>
                </c:pt>
                <c:pt idx="277">
                  <c:v>9321.0499999999993</c:v>
                </c:pt>
                <c:pt idx="278">
                  <c:v>1204.9499999999998</c:v>
                </c:pt>
                <c:pt idx="279">
                  <c:v>9063.44</c:v>
                </c:pt>
                <c:pt idx="280">
                  <c:v>3024.84</c:v>
                </c:pt>
                <c:pt idx="281">
                  <c:v>8996.9599999999991</c:v>
                </c:pt>
                <c:pt idx="282">
                  <c:v>1451.48</c:v>
                </c:pt>
                <c:pt idx="283">
                  <c:v>5623.1</c:v>
                </c:pt>
                <c:pt idx="284">
                  <c:v>1227.1099999999999</c:v>
                </c:pt>
                <c:pt idx="285">
                  <c:v>4767.17</c:v>
                </c:pt>
                <c:pt idx="286">
                  <c:v>7456.84</c:v>
                </c:pt>
                <c:pt idx="287">
                  <c:v>8044.08</c:v>
                </c:pt>
                <c:pt idx="288">
                  <c:v>5279.62</c:v>
                </c:pt>
                <c:pt idx="289">
                  <c:v>556.77</c:v>
                </c:pt>
                <c:pt idx="290">
                  <c:v>10883.33</c:v>
                </c:pt>
                <c:pt idx="291">
                  <c:v>1096.92</c:v>
                </c:pt>
                <c:pt idx="292">
                  <c:v>8312.77</c:v>
                </c:pt>
                <c:pt idx="293">
                  <c:v>8670.1</c:v>
                </c:pt>
                <c:pt idx="294">
                  <c:v>2407.1299999999997</c:v>
                </c:pt>
                <c:pt idx="295">
                  <c:v>5174.3599999999997</c:v>
                </c:pt>
                <c:pt idx="296">
                  <c:v>2069.19</c:v>
                </c:pt>
                <c:pt idx="297">
                  <c:v>6398.7000000000007</c:v>
                </c:pt>
                <c:pt idx="298">
                  <c:v>6980.4</c:v>
                </c:pt>
                <c:pt idx="299">
                  <c:v>4321.2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CA-4A05-B4C4-7AEE465FB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483375"/>
        <c:axId val="1054488175"/>
      </c:scatterChart>
      <c:valAx>
        <c:axId val="105448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488175"/>
        <c:crosses val="autoZero"/>
        <c:crossBetween val="midCat"/>
      </c:valAx>
      <c:valAx>
        <c:axId val="105448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48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[sri_lanka_delivery_dataset-221428573 (1).xlsx]Delivery Delays by Weather Type!PivotTable16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Delay_Min by Weather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'Delivery Delays by Weather Type'!$E$3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'Delivery Delays by Weather Type'!$D$4:$D$7</c:f>
              <c:strCache>
                <c:ptCount val="4"/>
                <c:pt idx="0">
                  <c:v>Clear</c:v>
                </c:pt>
                <c:pt idx="1">
                  <c:v>Cloudy</c:v>
                </c:pt>
                <c:pt idx="2">
                  <c:v>Rain</c:v>
                </c:pt>
                <c:pt idx="3">
                  <c:v>Windy</c:v>
                </c:pt>
              </c:strCache>
            </c:strRef>
          </c:cat>
          <c:val>
            <c:numRef>
              <c:f>'Delivery Delays by Weather Type'!$E$4:$E$7</c:f>
              <c:numCache>
                <c:formatCode>General</c:formatCode>
                <c:ptCount val="4"/>
                <c:pt idx="0">
                  <c:v>730</c:v>
                </c:pt>
                <c:pt idx="1">
                  <c:v>1020</c:v>
                </c:pt>
                <c:pt idx="2">
                  <c:v>735</c:v>
                </c:pt>
                <c:pt idx="3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0-4FC7-9FEB-5F7FEF36A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045455"/>
        <c:axId val="1130042095"/>
      </c:barChart>
      <c:catAx>
        <c:axId val="113004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42095"/>
        <c:crosses val="autoZero"/>
        <c:auto val="1"/>
        <c:lblAlgn val="ctr"/>
        <c:lblOffset val="100"/>
        <c:noMultiLvlLbl val="0"/>
      </c:catAx>
      <c:valAx>
        <c:axId val="113004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4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[sri_lanka_delivery_dataset-221428573 (1).xlsx]Fuel Consumption per Kilometre 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Fuel_per_km by Vehicle_ID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'Fuel Consumption per Kilometre 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'Fuel Consumption per Kilometre '!$E$4:$E$10</c:f>
              <c:strCache>
                <c:ptCount val="7"/>
                <c:pt idx="0">
                  <c:v>V201</c:v>
                </c:pt>
                <c:pt idx="1">
                  <c:v>V202</c:v>
                </c:pt>
                <c:pt idx="2">
                  <c:v>V203</c:v>
                </c:pt>
                <c:pt idx="3">
                  <c:v>V204</c:v>
                </c:pt>
                <c:pt idx="4">
                  <c:v>V205</c:v>
                </c:pt>
                <c:pt idx="5">
                  <c:v>V206</c:v>
                </c:pt>
                <c:pt idx="6">
                  <c:v>V207</c:v>
                </c:pt>
              </c:strCache>
            </c:strRef>
          </c:cat>
          <c:val>
            <c:numRef>
              <c:f>'Fuel Consumption per Kilometre '!$F$4:$F$10</c:f>
              <c:numCache>
                <c:formatCode>General</c:formatCode>
                <c:ptCount val="7"/>
                <c:pt idx="0">
                  <c:v>4.4352174209394084</c:v>
                </c:pt>
                <c:pt idx="1">
                  <c:v>5.9877702610465038</c:v>
                </c:pt>
                <c:pt idx="2">
                  <c:v>5.3178561655317704</c:v>
                </c:pt>
                <c:pt idx="3">
                  <c:v>5.8831814687720012</c:v>
                </c:pt>
                <c:pt idx="4">
                  <c:v>6.8206861609688207</c:v>
                </c:pt>
                <c:pt idx="5">
                  <c:v>7.5329459079587391</c:v>
                </c:pt>
                <c:pt idx="6">
                  <c:v>4.908165154143731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F-404E-9983-ABC5404F8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9941760"/>
        <c:axId val="2009940320"/>
      </c:barChart>
      <c:catAx>
        <c:axId val="200994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940320"/>
        <c:crosses val="autoZero"/>
        <c:auto val="1"/>
        <c:lblAlgn val="ctr"/>
        <c:lblOffset val="100"/>
        <c:noMultiLvlLbl val="0"/>
      </c:catAx>
      <c:valAx>
        <c:axId val="200994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94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800721784776904"/>
          <c:y val="0.17171296296296298"/>
          <c:w val="0.40287467191601051"/>
          <c:h val="0.671457786526684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'On-Time vs Delayed Deliveries'!$D$4:$D$5</c:f>
              <c:strCache>
                <c:ptCount val="2"/>
                <c:pt idx="0">
                  <c:v>Delayed</c:v>
                </c:pt>
                <c:pt idx="1">
                  <c:v>On Time</c:v>
                </c:pt>
              </c:strCache>
            </c:strRef>
          </c:cat>
          <c:val>
            <c:numRef>
              <c:f>'On-Time vs Delayed Deliveries'!$E$4:$E$5</c:f>
              <c:numCache>
                <c:formatCode>General</c:formatCode>
                <c:ptCount val="2"/>
                <c:pt idx="0">
                  <c:v>213</c:v>
                </c:pt>
                <c:pt idx="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0-4A03-BD8E-C610AEFFD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'Delivery Time vs Distance Chart'!$C$1</c:f>
              <c:strCache>
                <c:ptCount val="1"/>
                <c:pt idx="0">
                  <c:v>Distance_km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'Delivery Time vs Distance Chart'!$B$2:$B$301</c:f>
              <c:numCache>
                <c:formatCode>General</c:formatCode>
                <c:ptCount val="300"/>
                <c:pt idx="0">
                  <c:v>45</c:v>
                </c:pt>
                <c:pt idx="1">
                  <c:v>45</c:v>
                </c:pt>
                <c:pt idx="2">
                  <c:v>46</c:v>
                </c:pt>
                <c:pt idx="3">
                  <c:v>48</c:v>
                </c:pt>
                <c:pt idx="4">
                  <c:v>48</c:v>
                </c:pt>
                <c:pt idx="5">
                  <c:v>49</c:v>
                </c:pt>
                <c:pt idx="6">
                  <c:v>49</c:v>
                </c:pt>
                <c:pt idx="7">
                  <c:v>51</c:v>
                </c:pt>
                <c:pt idx="8">
                  <c:v>52</c:v>
                </c:pt>
                <c:pt idx="9">
                  <c:v>53</c:v>
                </c:pt>
                <c:pt idx="10">
                  <c:v>54</c:v>
                </c:pt>
                <c:pt idx="11">
                  <c:v>56</c:v>
                </c:pt>
                <c:pt idx="12">
                  <c:v>56</c:v>
                </c:pt>
                <c:pt idx="13">
                  <c:v>57</c:v>
                </c:pt>
                <c:pt idx="14">
                  <c:v>57</c:v>
                </c:pt>
                <c:pt idx="15">
                  <c:v>57</c:v>
                </c:pt>
                <c:pt idx="16">
                  <c:v>58</c:v>
                </c:pt>
                <c:pt idx="17">
                  <c:v>58</c:v>
                </c:pt>
                <c:pt idx="18">
                  <c:v>59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61</c:v>
                </c:pt>
                <c:pt idx="25">
                  <c:v>61</c:v>
                </c:pt>
                <c:pt idx="26">
                  <c:v>62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66</c:v>
                </c:pt>
                <c:pt idx="31">
                  <c:v>67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70</c:v>
                </c:pt>
                <c:pt idx="36">
                  <c:v>71</c:v>
                </c:pt>
                <c:pt idx="37">
                  <c:v>71</c:v>
                </c:pt>
                <c:pt idx="38">
                  <c:v>71</c:v>
                </c:pt>
                <c:pt idx="39">
                  <c:v>72</c:v>
                </c:pt>
                <c:pt idx="40">
                  <c:v>72</c:v>
                </c:pt>
                <c:pt idx="41">
                  <c:v>73</c:v>
                </c:pt>
                <c:pt idx="42">
                  <c:v>73</c:v>
                </c:pt>
                <c:pt idx="43">
                  <c:v>74</c:v>
                </c:pt>
                <c:pt idx="44">
                  <c:v>74</c:v>
                </c:pt>
                <c:pt idx="45">
                  <c:v>74</c:v>
                </c:pt>
                <c:pt idx="46">
                  <c:v>75</c:v>
                </c:pt>
                <c:pt idx="47">
                  <c:v>80</c:v>
                </c:pt>
                <c:pt idx="48">
                  <c:v>80</c:v>
                </c:pt>
                <c:pt idx="49">
                  <c:v>80</c:v>
                </c:pt>
                <c:pt idx="50">
                  <c:v>81</c:v>
                </c:pt>
                <c:pt idx="51">
                  <c:v>81</c:v>
                </c:pt>
                <c:pt idx="52">
                  <c:v>82</c:v>
                </c:pt>
                <c:pt idx="53">
                  <c:v>82</c:v>
                </c:pt>
                <c:pt idx="54">
                  <c:v>82</c:v>
                </c:pt>
                <c:pt idx="55">
                  <c:v>82</c:v>
                </c:pt>
                <c:pt idx="56">
                  <c:v>83</c:v>
                </c:pt>
                <c:pt idx="57">
                  <c:v>84</c:v>
                </c:pt>
                <c:pt idx="58">
                  <c:v>84</c:v>
                </c:pt>
                <c:pt idx="59">
                  <c:v>85</c:v>
                </c:pt>
                <c:pt idx="60">
                  <c:v>85</c:v>
                </c:pt>
                <c:pt idx="61">
                  <c:v>85</c:v>
                </c:pt>
                <c:pt idx="62">
                  <c:v>86</c:v>
                </c:pt>
                <c:pt idx="63">
                  <c:v>87</c:v>
                </c:pt>
                <c:pt idx="64">
                  <c:v>87</c:v>
                </c:pt>
                <c:pt idx="65">
                  <c:v>87</c:v>
                </c:pt>
                <c:pt idx="66">
                  <c:v>88</c:v>
                </c:pt>
                <c:pt idx="67">
                  <c:v>88</c:v>
                </c:pt>
                <c:pt idx="68">
                  <c:v>89</c:v>
                </c:pt>
                <c:pt idx="69">
                  <c:v>89</c:v>
                </c:pt>
                <c:pt idx="70">
                  <c:v>91</c:v>
                </c:pt>
                <c:pt idx="71">
                  <c:v>91</c:v>
                </c:pt>
                <c:pt idx="72">
                  <c:v>91</c:v>
                </c:pt>
                <c:pt idx="73">
                  <c:v>91</c:v>
                </c:pt>
                <c:pt idx="74">
                  <c:v>91</c:v>
                </c:pt>
                <c:pt idx="75">
                  <c:v>92</c:v>
                </c:pt>
                <c:pt idx="76">
                  <c:v>92</c:v>
                </c:pt>
                <c:pt idx="77">
                  <c:v>92</c:v>
                </c:pt>
                <c:pt idx="78">
                  <c:v>93</c:v>
                </c:pt>
                <c:pt idx="79">
                  <c:v>93</c:v>
                </c:pt>
                <c:pt idx="80">
                  <c:v>93</c:v>
                </c:pt>
                <c:pt idx="81">
                  <c:v>93</c:v>
                </c:pt>
                <c:pt idx="82">
                  <c:v>94</c:v>
                </c:pt>
                <c:pt idx="83">
                  <c:v>94</c:v>
                </c:pt>
                <c:pt idx="84">
                  <c:v>95</c:v>
                </c:pt>
                <c:pt idx="85">
                  <c:v>97</c:v>
                </c:pt>
                <c:pt idx="86">
                  <c:v>97</c:v>
                </c:pt>
                <c:pt idx="87">
                  <c:v>101</c:v>
                </c:pt>
                <c:pt idx="88">
                  <c:v>102</c:v>
                </c:pt>
                <c:pt idx="89">
                  <c:v>102</c:v>
                </c:pt>
                <c:pt idx="90">
                  <c:v>105</c:v>
                </c:pt>
                <c:pt idx="91">
                  <c:v>105</c:v>
                </c:pt>
                <c:pt idx="92">
                  <c:v>105</c:v>
                </c:pt>
                <c:pt idx="93">
                  <c:v>108</c:v>
                </c:pt>
                <c:pt idx="94">
                  <c:v>108</c:v>
                </c:pt>
                <c:pt idx="95">
                  <c:v>109</c:v>
                </c:pt>
                <c:pt idx="96">
                  <c:v>109</c:v>
                </c:pt>
                <c:pt idx="97">
                  <c:v>109</c:v>
                </c:pt>
                <c:pt idx="98">
                  <c:v>110</c:v>
                </c:pt>
                <c:pt idx="99">
                  <c:v>111</c:v>
                </c:pt>
                <c:pt idx="100">
                  <c:v>111</c:v>
                </c:pt>
                <c:pt idx="101">
                  <c:v>112</c:v>
                </c:pt>
                <c:pt idx="102">
                  <c:v>112</c:v>
                </c:pt>
                <c:pt idx="103">
                  <c:v>113</c:v>
                </c:pt>
                <c:pt idx="104">
                  <c:v>113</c:v>
                </c:pt>
                <c:pt idx="105">
                  <c:v>114</c:v>
                </c:pt>
                <c:pt idx="106">
                  <c:v>115</c:v>
                </c:pt>
                <c:pt idx="107">
                  <c:v>115</c:v>
                </c:pt>
                <c:pt idx="108">
                  <c:v>115</c:v>
                </c:pt>
                <c:pt idx="109">
                  <c:v>115</c:v>
                </c:pt>
                <c:pt idx="110">
                  <c:v>115</c:v>
                </c:pt>
                <c:pt idx="111">
                  <c:v>115</c:v>
                </c:pt>
                <c:pt idx="112">
                  <c:v>116</c:v>
                </c:pt>
                <c:pt idx="113">
                  <c:v>116</c:v>
                </c:pt>
                <c:pt idx="114">
                  <c:v>118</c:v>
                </c:pt>
                <c:pt idx="115">
                  <c:v>118</c:v>
                </c:pt>
                <c:pt idx="116">
                  <c:v>118</c:v>
                </c:pt>
                <c:pt idx="117">
                  <c:v>118</c:v>
                </c:pt>
                <c:pt idx="118">
                  <c:v>119</c:v>
                </c:pt>
                <c:pt idx="119">
                  <c:v>119</c:v>
                </c:pt>
                <c:pt idx="120">
                  <c:v>119</c:v>
                </c:pt>
                <c:pt idx="121">
                  <c:v>122</c:v>
                </c:pt>
                <c:pt idx="122">
                  <c:v>122</c:v>
                </c:pt>
                <c:pt idx="123">
                  <c:v>122</c:v>
                </c:pt>
                <c:pt idx="124">
                  <c:v>123</c:v>
                </c:pt>
                <c:pt idx="125">
                  <c:v>123</c:v>
                </c:pt>
                <c:pt idx="126">
                  <c:v>123</c:v>
                </c:pt>
                <c:pt idx="127">
                  <c:v>125</c:v>
                </c:pt>
                <c:pt idx="128">
                  <c:v>126</c:v>
                </c:pt>
                <c:pt idx="129">
                  <c:v>126</c:v>
                </c:pt>
                <c:pt idx="130">
                  <c:v>127</c:v>
                </c:pt>
                <c:pt idx="131">
                  <c:v>128</c:v>
                </c:pt>
                <c:pt idx="132">
                  <c:v>128</c:v>
                </c:pt>
                <c:pt idx="133">
                  <c:v>128</c:v>
                </c:pt>
                <c:pt idx="134">
                  <c:v>128</c:v>
                </c:pt>
                <c:pt idx="135">
                  <c:v>130</c:v>
                </c:pt>
                <c:pt idx="136">
                  <c:v>132</c:v>
                </c:pt>
                <c:pt idx="137">
                  <c:v>133</c:v>
                </c:pt>
                <c:pt idx="138">
                  <c:v>134</c:v>
                </c:pt>
                <c:pt idx="139">
                  <c:v>136</c:v>
                </c:pt>
                <c:pt idx="140">
                  <c:v>136</c:v>
                </c:pt>
                <c:pt idx="141">
                  <c:v>137</c:v>
                </c:pt>
                <c:pt idx="142">
                  <c:v>139</c:v>
                </c:pt>
                <c:pt idx="143">
                  <c:v>139</c:v>
                </c:pt>
                <c:pt idx="144">
                  <c:v>140</c:v>
                </c:pt>
                <c:pt idx="145">
                  <c:v>141</c:v>
                </c:pt>
                <c:pt idx="146">
                  <c:v>142</c:v>
                </c:pt>
                <c:pt idx="147">
                  <c:v>143</c:v>
                </c:pt>
                <c:pt idx="148">
                  <c:v>143</c:v>
                </c:pt>
                <c:pt idx="149">
                  <c:v>143</c:v>
                </c:pt>
                <c:pt idx="150">
                  <c:v>144</c:v>
                </c:pt>
                <c:pt idx="151">
                  <c:v>146</c:v>
                </c:pt>
                <c:pt idx="152">
                  <c:v>147</c:v>
                </c:pt>
                <c:pt idx="153">
                  <c:v>147</c:v>
                </c:pt>
                <c:pt idx="154">
                  <c:v>147</c:v>
                </c:pt>
                <c:pt idx="155">
                  <c:v>147</c:v>
                </c:pt>
                <c:pt idx="156">
                  <c:v>147</c:v>
                </c:pt>
                <c:pt idx="157">
                  <c:v>147</c:v>
                </c:pt>
                <c:pt idx="158">
                  <c:v>147</c:v>
                </c:pt>
                <c:pt idx="159">
                  <c:v>148</c:v>
                </c:pt>
                <c:pt idx="160">
                  <c:v>148</c:v>
                </c:pt>
                <c:pt idx="161">
                  <c:v>150</c:v>
                </c:pt>
                <c:pt idx="162">
                  <c:v>151</c:v>
                </c:pt>
                <c:pt idx="163">
                  <c:v>151</c:v>
                </c:pt>
                <c:pt idx="164">
                  <c:v>152</c:v>
                </c:pt>
                <c:pt idx="165">
                  <c:v>154</c:v>
                </c:pt>
                <c:pt idx="166">
                  <c:v>154</c:v>
                </c:pt>
                <c:pt idx="167">
                  <c:v>154</c:v>
                </c:pt>
                <c:pt idx="168">
                  <c:v>155</c:v>
                </c:pt>
                <c:pt idx="169">
                  <c:v>156</c:v>
                </c:pt>
                <c:pt idx="170">
                  <c:v>157</c:v>
                </c:pt>
                <c:pt idx="171">
                  <c:v>158</c:v>
                </c:pt>
                <c:pt idx="172">
                  <c:v>159</c:v>
                </c:pt>
                <c:pt idx="173">
                  <c:v>159</c:v>
                </c:pt>
                <c:pt idx="174">
                  <c:v>159</c:v>
                </c:pt>
                <c:pt idx="175">
                  <c:v>161</c:v>
                </c:pt>
                <c:pt idx="176">
                  <c:v>161</c:v>
                </c:pt>
                <c:pt idx="177">
                  <c:v>162</c:v>
                </c:pt>
                <c:pt idx="178">
                  <c:v>162</c:v>
                </c:pt>
                <c:pt idx="179">
                  <c:v>164</c:v>
                </c:pt>
                <c:pt idx="180">
                  <c:v>165</c:v>
                </c:pt>
                <c:pt idx="181">
                  <c:v>165</c:v>
                </c:pt>
                <c:pt idx="182">
                  <c:v>165</c:v>
                </c:pt>
                <c:pt idx="183">
                  <c:v>166</c:v>
                </c:pt>
                <c:pt idx="184">
                  <c:v>168</c:v>
                </c:pt>
                <c:pt idx="185">
                  <c:v>169</c:v>
                </c:pt>
                <c:pt idx="186">
                  <c:v>170</c:v>
                </c:pt>
                <c:pt idx="187">
                  <c:v>170</c:v>
                </c:pt>
                <c:pt idx="188">
                  <c:v>171</c:v>
                </c:pt>
                <c:pt idx="189">
                  <c:v>171</c:v>
                </c:pt>
                <c:pt idx="190">
                  <c:v>172</c:v>
                </c:pt>
                <c:pt idx="191">
                  <c:v>173</c:v>
                </c:pt>
                <c:pt idx="192">
                  <c:v>173</c:v>
                </c:pt>
                <c:pt idx="193">
                  <c:v>174</c:v>
                </c:pt>
                <c:pt idx="194">
                  <c:v>174</c:v>
                </c:pt>
                <c:pt idx="195">
                  <c:v>175</c:v>
                </c:pt>
                <c:pt idx="196">
                  <c:v>175</c:v>
                </c:pt>
                <c:pt idx="197">
                  <c:v>176</c:v>
                </c:pt>
                <c:pt idx="198">
                  <c:v>176</c:v>
                </c:pt>
                <c:pt idx="199">
                  <c:v>177</c:v>
                </c:pt>
                <c:pt idx="200">
                  <c:v>177</c:v>
                </c:pt>
                <c:pt idx="201">
                  <c:v>177</c:v>
                </c:pt>
                <c:pt idx="202">
                  <c:v>178</c:v>
                </c:pt>
                <c:pt idx="203">
                  <c:v>179</c:v>
                </c:pt>
                <c:pt idx="204">
                  <c:v>180</c:v>
                </c:pt>
                <c:pt idx="205">
                  <c:v>180</c:v>
                </c:pt>
                <c:pt idx="206">
                  <c:v>181</c:v>
                </c:pt>
                <c:pt idx="207">
                  <c:v>181</c:v>
                </c:pt>
                <c:pt idx="208">
                  <c:v>181</c:v>
                </c:pt>
                <c:pt idx="209">
                  <c:v>181</c:v>
                </c:pt>
                <c:pt idx="210">
                  <c:v>182</c:v>
                </c:pt>
                <c:pt idx="211">
                  <c:v>182</c:v>
                </c:pt>
                <c:pt idx="212">
                  <c:v>183</c:v>
                </c:pt>
                <c:pt idx="213">
                  <c:v>183</c:v>
                </c:pt>
                <c:pt idx="214">
                  <c:v>183</c:v>
                </c:pt>
                <c:pt idx="215">
                  <c:v>184</c:v>
                </c:pt>
                <c:pt idx="216">
                  <c:v>184</c:v>
                </c:pt>
                <c:pt idx="217">
                  <c:v>185</c:v>
                </c:pt>
                <c:pt idx="218">
                  <c:v>186</c:v>
                </c:pt>
                <c:pt idx="219">
                  <c:v>186</c:v>
                </c:pt>
                <c:pt idx="220">
                  <c:v>186</c:v>
                </c:pt>
                <c:pt idx="221">
                  <c:v>188</c:v>
                </c:pt>
                <c:pt idx="222">
                  <c:v>190</c:v>
                </c:pt>
                <c:pt idx="223">
                  <c:v>191</c:v>
                </c:pt>
                <c:pt idx="224">
                  <c:v>191</c:v>
                </c:pt>
                <c:pt idx="225">
                  <c:v>191</c:v>
                </c:pt>
                <c:pt idx="226">
                  <c:v>191</c:v>
                </c:pt>
                <c:pt idx="227">
                  <c:v>192</c:v>
                </c:pt>
                <c:pt idx="228">
                  <c:v>192</c:v>
                </c:pt>
                <c:pt idx="229">
                  <c:v>193</c:v>
                </c:pt>
                <c:pt idx="230">
                  <c:v>193</c:v>
                </c:pt>
                <c:pt idx="231">
                  <c:v>194</c:v>
                </c:pt>
                <c:pt idx="232">
                  <c:v>195</c:v>
                </c:pt>
                <c:pt idx="233">
                  <c:v>195</c:v>
                </c:pt>
                <c:pt idx="234">
                  <c:v>196</c:v>
                </c:pt>
                <c:pt idx="235">
                  <c:v>196</c:v>
                </c:pt>
                <c:pt idx="236">
                  <c:v>196</c:v>
                </c:pt>
                <c:pt idx="237">
                  <c:v>197</c:v>
                </c:pt>
                <c:pt idx="238">
                  <c:v>197</c:v>
                </c:pt>
                <c:pt idx="239">
                  <c:v>199</c:v>
                </c:pt>
                <c:pt idx="240">
                  <c:v>200</c:v>
                </c:pt>
                <c:pt idx="241">
                  <c:v>200</c:v>
                </c:pt>
                <c:pt idx="242">
                  <c:v>200</c:v>
                </c:pt>
                <c:pt idx="243">
                  <c:v>201</c:v>
                </c:pt>
                <c:pt idx="244">
                  <c:v>202</c:v>
                </c:pt>
                <c:pt idx="245">
                  <c:v>202</c:v>
                </c:pt>
                <c:pt idx="246">
                  <c:v>203</c:v>
                </c:pt>
                <c:pt idx="247">
                  <c:v>203</c:v>
                </c:pt>
                <c:pt idx="248">
                  <c:v>203</c:v>
                </c:pt>
                <c:pt idx="249">
                  <c:v>205</c:v>
                </c:pt>
                <c:pt idx="250">
                  <c:v>205</c:v>
                </c:pt>
                <c:pt idx="251">
                  <c:v>205</c:v>
                </c:pt>
                <c:pt idx="252">
                  <c:v>205</c:v>
                </c:pt>
                <c:pt idx="253">
                  <c:v>205</c:v>
                </c:pt>
                <c:pt idx="254">
                  <c:v>206</c:v>
                </c:pt>
                <c:pt idx="255">
                  <c:v>207</c:v>
                </c:pt>
                <c:pt idx="256">
                  <c:v>209</c:v>
                </c:pt>
                <c:pt idx="257">
                  <c:v>209</c:v>
                </c:pt>
                <c:pt idx="258">
                  <c:v>210</c:v>
                </c:pt>
                <c:pt idx="259">
                  <c:v>211</c:v>
                </c:pt>
                <c:pt idx="260">
                  <c:v>211</c:v>
                </c:pt>
                <c:pt idx="261">
                  <c:v>212</c:v>
                </c:pt>
                <c:pt idx="262">
                  <c:v>212</c:v>
                </c:pt>
                <c:pt idx="263">
                  <c:v>212</c:v>
                </c:pt>
                <c:pt idx="264">
                  <c:v>212</c:v>
                </c:pt>
                <c:pt idx="265">
                  <c:v>213</c:v>
                </c:pt>
                <c:pt idx="266">
                  <c:v>213</c:v>
                </c:pt>
                <c:pt idx="267">
                  <c:v>214</c:v>
                </c:pt>
                <c:pt idx="268">
                  <c:v>215</c:v>
                </c:pt>
                <c:pt idx="269">
                  <c:v>216</c:v>
                </c:pt>
                <c:pt idx="270">
                  <c:v>217</c:v>
                </c:pt>
                <c:pt idx="271">
                  <c:v>217</c:v>
                </c:pt>
                <c:pt idx="272">
                  <c:v>218</c:v>
                </c:pt>
                <c:pt idx="273">
                  <c:v>220</c:v>
                </c:pt>
                <c:pt idx="274">
                  <c:v>221</c:v>
                </c:pt>
                <c:pt idx="275">
                  <c:v>221</c:v>
                </c:pt>
                <c:pt idx="276">
                  <c:v>221</c:v>
                </c:pt>
                <c:pt idx="277">
                  <c:v>222</c:v>
                </c:pt>
                <c:pt idx="278">
                  <c:v>224</c:v>
                </c:pt>
                <c:pt idx="279">
                  <c:v>225</c:v>
                </c:pt>
                <c:pt idx="280">
                  <c:v>226</c:v>
                </c:pt>
                <c:pt idx="281">
                  <c:v>227</c:v>
                </c:pt>
                <c:pt idx="282">
                  <c:v>228</c:v>
                </c:pt>
                <c:pt idx="283">
                  <c:v>228</c:v>
                </c:pt>
                <c:pt idx="284">
                  <c:v>229</c:v>
                </c:pt>
                <c:pt idx="285">
                  <c:v>229</c:v>
                </c:pt>
                <c:pt idx="286">
                  <c:v>231</c:v>
                </c:pt>
                <c:pt idx="287">
                  <c:v>232</c:v>
                </c:pt>
                <c:pt idx="288">
                  <c:v>232</c:v>
                </c:pt>
                <c:pt idx="289">
                  <c:v>232</c:v>
                </c:pt>
                <c:pt idx="290">
                  <c:v>232</c:v>
                </c:pt>
                <c:pt idx="291">
                  <c:v>234</c:v>
                </c:pt>
                <c:pt idx="292">
                  <c:v>236</c:v>
                </c:pt>
                <c:pt idx="293">
                  <c:v>237</c:v>
                </c:pt>
                <c:pt idx="294">
                  <c:v>237</c:v>
                </c:pt>
                <c:pt idx="295">
                  <c:v>239</c:v>
                </c:pt>
                <c:pt idx="296">
                  <c:v>239</c:v>
                </c:pt>
                <c:pt idx="297">
                  <c:v>239</c:v>
                </c:pt>
                <c:pt idx="298">
                  <c:v>240</c:v>
                </c:pt>
                <c:pt idx="299">
                  <c:v>240</c:v>
                </c:pt>
              </c:numCache>
            </c:numRef>
          </c:xVal>
          <c:yVal>
            <c:numRef>
              <c:f>'Delivery Time vs Distance Chart'!$C$2:$C$301</c:f>
              <c:numCache>
                <c:formatCode>General</c:formatCode>
                <c:ptCount val="300"/>
                <c:pt idx="0">
                  <c:v>50.7</c:v>
                </c:pt>
                <c:pt idx="1">
                  <c:v>187.8</c:v>
                </c:pt>
                <c:pt idx="2">
                  <c:v>96.2</c:v>
                </c:pt>
                <c:pt idx="3">
                  <c:v>44.2</c:v>
                </c:pt>
                <c:pt idx="4">
                  <c:v>48.4</c:v>
                </c:pt>
                <c:pt idx="5">
                  <c:v>197.6</c:v>
                </c:pt>
                <c:pt idx="6">
                  <c:v>211.3</c:v>
                </c:pt>
                <c:pt idx="7">
                  <c:v>143</c:v>
                </c:pt>
                <c:pt idx="8">
                  <c:v>151.4</c:v>
                </c:pt>
                <c:pt idx="9">
                  <c:v>220.4</c:v>
                </c:pt>
                <c:pt idx="10">
                  <c:v>158.80000000000001</c:v>
                </c:pt>
                <c:pt idx="11">
                  <c:v>102</c:v>
                </c:pt>
                <c:pt idx="12">
                  <c:v>15.6</c:v>
                </c:pt>
                <c:pt idx="13">
                  <c:v>193.6</c:v>
                </c:pt>
                <c:pt idx="14">
                  <c:v>152.30000000000001</c:v>
                </c:pt>
                <c:pt idx="15">
                  <c:v>200.9</c:v>
                </c:pt>
                <c:pt idx="16">
                  <c:v>221.3</c:v>
                </c:pt>
                <c:pt idx="17">
                  <c:v>77.5</c:v>
                </c:pt>
                <c:pt idx="18">
                  <c:v>223.8</c:v>
                </c:pt>
                <c:pt idx="19">
                  <c:v>204.5</c:v>
                </c:pt>
                <c:pt idx="20">
                  <c:v>237.1</c:v>
                </c:pt>
                <c:pt idx="21">
                  <c:v>106.9</c:v>
                </c:pt>
                <c:pt idx="22">
                  <c:v>61.8</c:v>
                </c:pt>
                <c:pt idx="23">
                  <c:v>153.9</c:v>
                </c:pt>
                <c:pt idx="24">
                  <c:v>173.8</c:v>
                </c:pt>
                <c:pt idx="25">
                  <c:v>177.1</c:v>
                </c:pt>
                <c:pt idx="26">
                  <c:v>197.6</c:v>
                </c:pt>
                <c:pt idx="27">
                  <c:v>106.9</c:v>
                </c:pt>
                <c:pt idx="28">
                  <c:v>210.1</c:v>
                </c:pt>
                <c:pt idx="29">
                  <c:v>222.5</c:v>
                </c:pt>
                <c:pt idx="30">
                  <c:v>220.3</c:v>
                </c:pt>
                <c:pt idx="31">
                  <c:v>31.9</c:v>
                </c:pt>
                <c:pt idx="32">
                  <c:v>33.299999999999997</c:v>
                </c:pt>
                <c:pt idx="33">
                  <c:v>208.7</c:v>
                </c:pt>
                <c:pt idx="34">
                  <c:v>243.7</c:v>
                </c:pt>
                <c:pt idx="35">
                  <c:v>159</c:v>
                </c:pt>
                <c:pt idx="36">
                  <c:v>238.2</c:v>
                </c:pt>
                <c:pt idx="37">
                  <c:v>198.4</c:v>
                </c:pt>
                <c:pt idx="38">
                  <c:v>124.8</c:v>
                </c:pt>
                <c:pt idx="39">
                  <c:v>186</c:v>
                </c:pt>
                <c:pt idx="40">
                  <c:v>179.7</c:v>
                </c:pt>
                <c:pt idx="41">
                  <c:v>85.8</c:v>
                </c:pt>
                <c:pt idx="42">
                  <c:v>57.5</c:v>
                </c:pt>
                <c:pt idx="43">
                  <c:v>207.6</c:v>
                </c:pt>
                <c:pt idx="44">
                  <c:v>36.299999999999997</c:v>
                </c:pt>
                <c:pt idx="45">
                  <c:v>219</c:v>
                </c:pt>
                <c:pt idx="46">
                  <c:v>143.1</c:v>
                </c:pt>
                <c:pt idx="47">
                  <c:v>163.5</c:v>
                </c:pt>
                <c:pt idx="48">
                  <c:v>13.9</c:v>
                </c:pt>
                <c:pt idx="49">
                  <c:v>227.8</c:v>
                </c:pt>
                <c:pt idx="50">
                  <c:v>167.2</c:v>
                </c:pt>
                <c:pt idx="51">
                  <c:v>93.1</c:v>
                </c:pt>
                <c:pt idx="52">
                  <c:v>28.6</c:v>
                </c:pt>
                <c:pt idx="53">
                  <c:v>164.4</c:v>
                </c:pt>
                <c:pt idx="54">
                  <c:v>204.7</c:v>
                </c:pt>
                <c:pt idx="55">
                  <c:v>99.1</c:v>
                </c:pt>
                <c:pt idx="56">
                  <c:v>195</c:v>
                </c:pt>
                <c:pt idx="57">
                  <c:v>119.3</c:v>
                </c:pt>
                <c:pt idx="58">
                  <c:v>17.7</c:v>
                </c:pt>
                <c:pt idx="59">
                  <c:v>21.8</c:v>
                </c:pt>
                <c:pt idx="60">
                  <c:v>110.5</c:v>
                </c:pt>
                <c:pt idx="61">
                  <c:v>134.30000000000001</c:v>
                </c:pt>
                <c:pt idx="62">
                  <c:v>208.1</c:v>
                </c:pt>
                <c:pt idx="63">
                  <c:v>36.799999999999997</c:v>
                </c:pt>
                <c:pt idx="64">
                  <c:v>224</c:v>
                </c:pt>
                <c:pt idx="65">
                  <c:v>124.2</c:v>
                </c:pt>
                <c:pt idx="66">
                  <c:v>18.899999999999999</c:v>
                </c:pt>
                <c:pt idx="67">
                  <c:v>131.9</c:v>
                </c:pt>
                <c:pt idx="68">
                  <c:v>105.4</c:v>
                </c:pt>
                <c:pt idx="69">
                  <c:v>19.3</c:v>
                </c:pt>
                <c:pt idx="70">
                  <c:v>118.2</c:v>
                </c:pt>
                <c:pt idx="71">
                  <c:v>110.5</c:v>
                </c:pt>
                <c:pt idx="72">
                  <c:v>231.1</c:v>
                </c:pt>
                <c:pt idx="73">
                  <c:v>83.3</c:v>
                </c:pt>
                <c:pt idx="74">
                  <c:v>74.099999999999994</c:v>
                </c:pt>
                <c:pt idx="75">
                  <c:v>138.30000000000001</c:v>
                </c:pt>
                <c:pt idx="76">
                  <c:v>170.5</c:v>
                </c:pt>
                <c:pt idx="77">
                  <c:v>109.7</c:v>
                </c:pt>
                <c:pt idx="78">
                  <c:v>195.9</c:v>
                </c:pt>
                <c:pt idx="79">
                  <c:v>164.7</c:v>
                </c:pt>
                <c:pt idx="80">
                  <c:v>37.299999999999997</c:v>
                </c:pt>
                <c:pt idx="81">
                  <c:v>148.19999999999999</c:v>
                </c:pt>
                <c:pt idx="82">
                  <c:v>142.69999999999999</c:v>
                </c:pt>
                <c:pt idx="83">
                  <c:v>218.7</c:v>
                </c:pt>
                <c:pt idx="84">
                  <c:v>209</c:v>
                </c:pt>
                <c:pt idx="85">
                  <c:v>183</c:v>
                </c:pt>
                <c:pt idx="86">
                  <c:v>179.3</c:v>
                </c:pt>
                <c:pt idx="87">
                  <c:v>164.1</c:v>
                </c:pt>
                <c:pt idx="88">
                  <c:v>146</c:v>
                </c:pt>
                <c:pt idx="89">
                  <c:v>133.69999999999999</c:v>
                </c:pt>
                <c:pt idx="90">
                  <c:v>81.7</c:v>
                </c:pt>
                <c:pt idx="91">
                  <c:v>198.6</c:v>
                </c:pt>
                <c:pt idx="92">
                  <c:v>25.6</c:v>
                </c:pt>
                <c:pt idx="93">
                  <c:v>84.6</c:v>
                </c:pt>
                <c:pt idx="94">
                  <c:v>103</c:v>
                </c:pt>
                <c:pt idx="95">
                  <c:v>234.6</c:v>
                </c:pt>
                <c:pt idx="96">
                  <c:v>93.3</c:v>
                </c:pt>
                <c:pt idx="97">
                  <c:v>121.5</c:v>
                </c:pt>
                <c:pt idx="98">
                  <c:v>133.30000000000001</c:v>
                </c:pt>
                <c:pt idx="99">
                  <c:v>211.6</c:v>
                </c:pt>
                <c:pt idx="100">
                  <c:v>101.3</c:v>
                </c:pt>
                <c:pt idx="101">
                  <c:v>42.7</c:v>
                </c:pt>
                <c:pt idx="102">
                  <c:v>227.4</c:v>
                </c:pt>
                <c:pt idx="103">
                  <c:v>179.2</c:v>
                </c:pt>
                <c:pt idx="104">
                  <c:v>206.7</c:v>
                </c:pt>
                <c:pt idx="105">
                  <c:v>80.5</c:v>
                </c:pt>
                <c:pt idx="106">
                  <c:v>119.8</c:v>
                </c:pt>
                <c:pt idx="107">
                  <c:v>10.3</c:v>
                </c:pt>
                <c:pt idx="108">
                  <c:v>81.599999999999994</c:v>
                </c:pt>
                <c:pt idx="109">
                  <c:v>139.5</c:v>
                </c:pt>
                <c:pt idx="110">
                  <c:v>150.19999999999999</c:v>
                </c:pt>
                <c:pt idx="111">
                  <c:v>134.6</c:v>
                </c:pt>
                <c:pt idx="112">
                  <c:v>119</c:v>
                </c:pt>
                <c:pt idx="113">
                  <c:v>30.6</c:v>
                </c:pt>
                <c:pt idx="114">
                  <c:v>209.4</c:v>
                </c:pt>
                <c:pt idx="115">
                  <c:v>194</c:v>
                </c:pt>
                <c:pt idx="116">
                  <c:v>198.9</c:v>
                </c:pt>
                <c:pt idx="117">
                  <c:v>136.30000000000001</c:v>
                </c:pt>
                <c:pt idx="118">
                  <c:v>186.5</c:v>
                </c:pt>
                <c:pt idx="119">
                  <c:v>154.9</c:v>
                </c:pt>
                <c:pt idx="120">
                  <c:v>85</c:v>
                </c:pt>
                <c:pt idx="121">
                  <c:v>120</c:v>
                </c:pt>
                <c:pt idx="122">
                  <c:v>18.399999999999999</c:v>
                </c:pt>
                <c:pt idx="123">
                  <c:v>155.4</c:v>
                </c:pt>
                <c:pt idx="124">
                  <c:v>88.4</c:v>
                </c:pt>
                <c:pt idx="125">
                  <c:v>142.9</c:v>
                </c:pt>
                <c:pt idx="126">
                  <c:v>226.9</c:v>
                </c:pt>
                <c:pt idx="127">
                  <c:v>92.9</c:v>
                </c:pt>
                <c:pt idx="128">
                  <c:v>73.5</c:v>
                </c:pt>
                <c:pt idx="129">
                  <c:v>74.099999999999994</c:v>
                </c:pt>
                <c:pt idx="130">
                  <c:v>150.5</c:v>
                </c:pt>
                <c:pt idx="131">
                  <c:v>64.2</c:v>
                </c:pt>
                <c:pt idx="132">
                  <c:v>108.5</c:v>
                </c:pt>
                <c:pt idx="133">
                  <c:v>22.1</c:v>
                </c:pt>
                <c:pt idx="134">
                  <c:v>52.9</c:v>
                </c:pt>
                <c:pt idx="135">
                  <c:v>137.80000000000001</c:v>
                </c:pt>
                <c:pt idx="136">
                  <c:v>204.9</c:v>
                </c:pt>
                <c:pt idx="137">
                  <c:v>241</c:v>
                </c:pt>
                <c:pt idx="138">
                  <c:v>239</c:v>
                </c:pt>
                <c:pt idx="139">
                  <c:v>159.5</c:v>
                </c:pt>
                <c:pt idx="140">
                  <c:v>194.3</c:v>
                </c:pt>
                <c:pt idx="141">
                  <c:v>107.4</c:v>
                </c:pt>
                <c:pt idx="142">
                  <c:v>148.69999999999999</c:v>
                </c:pt>
                <c:pt idx="143">
                  <c:v>146.69999999999999</c:v>
                </c:pt>
                <c:pt idx="144">
                  <c:v>40.200000000000003</c:v>
                </c:pt>
                <c:pt idx="145">
                  <c:v>154.1</c:v>
                </c:pt>
                <c:pt idx="146">
                  <c:v>98.3</c:v>
                </c:pt>
                <c:pt idx="147">
                  <c:v>236.9</c:v>
                </c:pt>
                <c:pt idx="148">
                  <c:v>46.4</c:v>
                </c:pt>
                <c:pt idx="149">
                  <c:v>34.200000000000003</c:v>
                </c:pt>
                <c:pt idx="150">
                  <c:v>153.1</c:v>
                </c:pt>
                <c:pt idx="151">
                  <c:v>166.5</c:v>
                </c:pt>
                <c:pt idx="152">
                  <c:v>61.4</c:v>
                </c:pt>
                <c:pt idx="153">
                  <c:v>145.5</c:v>
                </c:pt>
                <c:pt idx="154">
                  <c:v>135</c:v>
                </c:pt>
                <c:pt idx="155">
                  <c:v>217.8</c:v>
                </c:pt>
                <c:pt idx="156">
                  <c:v>46.7</c:v>
                </c:pt>
                <c:pt idx="157">
                  <c:v>31</c:v>
                </c:pt>
                <c:pt idx="158">
                  <c:v>19.100000000000001</c:v>
                </c:pt>
                <c:pt idx="159">
                  <c:v>120.9</c:v>
                </c:pt>
                <c:pt idx="160">
                  <c:v>239.2</c:v>
                </c:pt>
                <c:pt idx="161">
                  <c:v>146.4</c:v>
                </c:pt>
                <c:pt idx="162">
                  <c:v>127.6</c:v>
                </c:pt>
                <c:pt idx="163">
                  <c:v>113.2</c:v>
                </c:pt>
                <c:pt idx="164">
                  <c:v>66.5</c:v>
                </c:pt>
                <c:pt idx="165">
                  <c:v>145.9</c:v>
                </c:pt>
                <c:pt idx="166">
                  <c:v>25.7</c:v>
                </c:pt>
                <c:pt idx="167">
                  <c:v>238.2</c:v>
                </c:pt>
                <c:pt idx="168">
                  <c:v>124.1</c:v>
                </c:pt>
                <c:pt idx="169">
                  <c:v>124</c:v>
                </c:pt>
                <c:pt idx="170">
                  <c:v>36.4</c:v>
                </c:pt>
                <c:pt idx="171">
                  <c:v>76</c:v>
                </c:pt>
                <c:pt idx="172">
                  <c:v>130.1</c:v>
                </c:pt>
                <c:pt idx="173">
                  <c:v>31.9</c:v>
                </c:pt>
                <c:pt idx="174">
                  <c:v>198.9</c:v>
                </c:pt>
                <c:pt idx="175">
                  <c:v>173</c:v>
                </c:pt>
                <c:pt idx="176">
                  <c:v>217.8</c:v>
                </c:pt>
                <c:pt idx="177">
                  <c:v>141.5</c:v>
                </c:pt>
                <c:pt idx="178">
                  <c:v>80.2</c:v>
                </c:pt>
                <c:pt idx="179">
                  <c:v>94.6</c:v>
                </c:pt>
                <c:pt idx="180">
                  <c:v>93</c:v>
                </c:pt>
                <c:pt idx="181">
                  <c:v>28.2</c:v>
                </c:pt>
                <c:pt idx="182">
                  <c:v>125.5</c:v>
                </c:pt>
                <c:pt idx="183">
                  <c:v>166.9</c:v>
                </c:pt>
                <c:pt idx="184">
                  <c:v>162.6</c:v>
                </c:pt>
                <c:pt idx="185">
                  <c:v>120.7</c:v>
                </c:pt>
                <c:pt idx="186">
                  <c:v>237.1</c:v>
                </c:pt>
                <c:pt idx="187">
                  <c:v>210.5</c:v>
                </c:pt>
                <c:pt idx="188">
                  <c:v>233.4</c:v>
                </c:pt>
                <c:pt idx="189">
                  <c:v>82.1</c:v>
                </c:pt>
                <c:pt idx="190">
                  <c:v>175</c:v>
                </c:pt>
                <c:pt idx="191">
                  <c:v>92.2</c:v>
                </c:pt>
                <c:pt idx="192">
                  <c:v>235.5</c:v>
                </c:pt>
                <c:pt idx="193">
                  <c:v>97.4</c:v>
                </c:pt>
                <c:pt idx="194">
                  <c:v>57.1</c:v>
                </c:pt>
                <c:pt idx="195">
                  <c:v>179.8</c:v>
                </c:pt>
                <c:pt idx="196">
                  <c:v>81.5</c:v>
                </c:pt>
                <c:pt idx="197">
                  <c:v>135.69999999999999</c:v>
                </c:pt>
                <c:pt idx="198">
                  <c:v>201.6</c:v>
                </c:pt>
                <c:pt idx="199">
                  <c:v>88.1</c:v>
                </c:pt>
                <c:pt idx="200">
                  <c:v>58.4</c:v>
                </c:pt>
                <c:pt idx="201">
                  <c:v>125.3</c:v>
                </c:pt>
                <c:pt idx="202">
                  <c:v>24</c:v>
                </c:pt>
                <c:pt idx="203">
                  <c:v>173.9</c:v>
                </c:pt>
                <c:pt idx="204">
                  <c:v>134.4</c:v>
                </c:pt>
                <c:pt idx="205">
                  <c:v>67.3</c:v>
                </c:pt>
                <c:pt idx="206">
                  <c:v>110</c:v>
                </c:pt>
                <c:pt idx="207">
                  <c:v>168.6</c:v>
                </c:pt>
                <c:pt idx="208">
                  <c:v>133.80000000000001</c:v>
                </c:pt>
                <c:pt idx="209">
                  <c:v>184.6</c:v>
                </c:pt>
                <c:pt idx="210">
                  <c:v>227.3</c:v>
                </c:pt>
                <c:pt idx="211">
                  <c:v>74.7</c:v>
                </c:pt>
                <c:pt idx="212">
                  <c:v>92.2</c:v>
                </c:pt>
                <c:pt idx="213">
                  <c:v>197.6</c:v>
                </c:pt>
                <c:pt idx="214">
                  <c:v>10.9</c:v>
                </c:pt>
                <c:pt idx="215">
                  <c:v>145.30000000000001</c:v>
                </c:pt>
                <c:pt idx="216">
                  <c:v>220.7</c:v>
                </c:pt>
                <c:pt idx="217">
                  <c:v>196.2</c:v>
                </c:pt>
                <c:pt idx="218">
                  <c:v>233.3</c:v>
                </c:pt>
                <c:pt idx="219">
                  <c:v>208.6</c:v>
                </c:pt>
                <c:pt idx="220">
                  <c:v>43.3</c:v>
                </c:pt>
                <c:pt idx="221">
                  <c:v>44.7</c:v>
                </c:pt>
                <c:pt idx="222">
                  <c:v>229.9</c:v>
                </c:pt>
                <c:pt idx="223">
                  <c:v>19.100000000000001</c:v>
                </c:pt>
                <c:pt idx="224">
                  <c:v>229.8</c:v>
                </c:pt>
                <c:pt idx="225">
                  <c:v>94</c:v>
                </c:pt>
                <c:pt idx="226">
                  <c:v>210.9</c:v>
                </c:pt>
                <c:pt idx="227">
                  <c:v>144.4</c:v>
                </c:pt>
                <c:pt idx="228">
                  <c:v>127.1</c:v>
                </c:pt>
                <c:pt idx="229">
                  <c:v>201.6</c:v>
                </c:pt>
                <c:pt idx="230">
                  <c:v>226.8</c:v>
                </c:pt>
                <c:pt idx="231">
                  <c:v>163</c:v>
                </c:pt>
                <c:pt idx="232">
                  <c:v>225.3</c:v>
                </c:pt>
                <c:pt idx="233">
                  <c:v>194.6</c:v>
                </c:pt>
                <c:pt idx="234">
                  <c:v>215.4</c:v>
                </c:pt>
                <c:pt idx="235">
                  <c:v>67.900000000000006</c:v>
                </c:pt>
                <c:pt idx="236">
                  <c:v>35</c:v>
                </c:pt>
                <c:pt idx="237">
                  <c:v>242.4</c:v>
                </c:pt>
                <c:pt idx="238">
                  <c:v>155.1</c:v>
                </c:pt>
                <c:pt idx="239">
                  <c:v>214.1</c:v>
                </c:pt>
                <c:pt idx="240">
                  <c:v>236.8</c:v>
                </c:pt>
                <c:pt idx="241">
                  <c:v>42.9</c:v>
                </c:pt>
                <c:pt idx="242">
                  <c:v>42.5</c:v>
                </c:pt>
                <c:pt idx="243">
                  <c:v>48.8</c:v>
                </c:pt>
                <c:pt idx="244">
                  <c:v>133.9</c:v>
                </c:pt>
                <c:pt idx="245">
                  <c:v>165.9</c:v>
                </c:pt>
                <c:pt idx="246">
                  <c:v>36.6</c:v>
                </c:pt>
                <c:pt idx="247">
                  <c:v>189.2</c:v>
                </c:pt>
                <c:pt idx="248">
                  <c:v>16.600000000000001</c:v>
                </c:pt>
                <c:pt idx="249">
                  <c:v>146</c:v>
                </c:pt>
                <c:pt idx="250">
                  <c:v>13.5</c:v>
                </c:pt>
                <c:pt idx="251">
                  <c:v>159.80000000000001</c:v>
                </c:pt>
                <c:pt idx="252">
                  <c:v>30.2</c:v>
                </c:pt>
                <c:pt idx="253">
                  <c:v>13.8</c:v>
                </c:pt>
                <c:pt idx="254">
                  <c:v>232.5</c:v>
                </c:pt>
                <c:pt idx="255">
                  <c:v>87.3</c:v>
                </c:pt>
                <c:pt idx="256">
                  <c:v>229</c:v>
                </c:pt>
                <c:pt idx="257">
                  <c:v>245.9</c:v>
                </c:pt>
                <c:pt idx="258">
                  <c:v>122.9</c:v>
                </c:pt>
                <c:pt idx="259">
                  <c:v>188.1</c:v>
                </c:pt>
                <c:pt idx="260">
                  <c:v>48.8</c:v>
                </c:pt>
                <c:pt idx="261">
                  <c:v>36.700000000000003</c:v>
                </c:pt>
                <c:pt idx="262">
                  <c:v>126.8</c:v>
                </c:pt>
                <c:pt idx="263">
                  <c:v>121.3</c:v>
                </c:pt>
                <c:pt idx="264">
                  <c:v>123</c:v>
                </c:pt>
                <c:pt idx="265">
                  <c:v>182.3</c:v>
                </c:pt>
                <c:pt idx="266">
                  <c:v>38.299999999999997</c:v>
                </c:pt>
                <c:pt idx="267">
                  <c:v>30.3</c:v>
                </c:pt>
                <c:pt idx="268">
                  <c:v>27.8</c:v>
                </c:pt>
                <c:pt idx="269">
                  <c:v>25.7</c:v>
                </c:pt>
                <c:pt idx="270">
                  <c:v>227.2</c:v>
                </c:pt>
                <c:pt idx="271">
                  <c:v>85.8</c:v>
                </c:pt>
                <c:pt idx="272">
                  <c:v>202.1</c:v>
                </c:pt>
                <c:pt idx="273">
                  <c:v>223.3</c:v>
                </c:pt>
                <c:pt idx="274">
                  <c:v>30.7</c:v>
                </c:pt>
                <c:pt idx="275">
                  <c:v>107.5</c:v>
                </c:pt>
                <c:pt idx="276">
                  <c:v>181.9</c:v>
                </c:pt>
                <c:pt idx="277">
                  <c:v>134.30000000000001</c:v>
                </c:pt>
                <c:pt idx="278">
                  <c:v>129.5</c:v>
                </c:pt>
                <c:pt idx="279">
                  <c:v>46.7</c:v>
                </c:pt>
                <c:pt idx="280">
                  <c:v>137.6</c:v>
                </c:pt>
                <c:pt idx="281">
                  <c:v>181.3</c:v>
                </c:pt>
                <c:pt idx="282">
                  <c:v>212.8</c:v>
                </c:pt>
                <c:pt idx="283">
                  <c:v>24</c:v>
                </c:pt>
                <c:pt idx="284">
                  <c:v>203.8</c:v>
                </c:pt>
                <c:pt idx="285">
                  <c:v>91.8</c:v>
                </c:pt>
                <c:pt idx="286">
                  <c:v>32.799999999999997</c:v>
                </c:pt>
                <c:pt idx="287">
                  <c:v>234.6</c:v>
                </c:pt>
                <c:pt idx="288">
                  <c:v>18.2</c:v>
                </c:pt>
                <c:pt idx="289">
                  <c:v>78.2</c:v>
                </c:pt>
                <c:pt idx="290">
                  <c:v>94.9</c:v>
                </c:pt>
                <c:pt idx="291">
                  <c:v>15.1</c:v>
                </c:pt>
                <c:pt idx="292">
                  <c:v>90</c:v>
                </c:pt>
                <c:pt idx="293">
                  <c:v>64.7</c:v>
                </c:pt>
                <c:pt idx="294">
                  <c:v>156.6</c:v>
                </c:pt>
                <c:pt idx="295">
                  <c:v>93.8</c:v>
                </c:pt>
                <c:pt idx="296">
                  <c:v>230</c:v>
                </c:pt>
                <c:pt idx="297">
                  <c:v>163.9</c:v>
                </c:pt>
                <c:pt idx="298">
                  <c:v>224.1</c:v>
                </c:pt>
                <c:pt idx="299">
                  <c:v>237.3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A2-4DB1-8087-7719E6B79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17104"/>
        <c:axId val="168116624"/>
      </c:scatterChart>
      <c:valAx>
        <c:axId val="16811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Distance_km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16624"/>
        <c:crosses val="autoZero"/>
        <c:crossBetween val="midCat"/>
      </c:valAx>
      <c:valAx>
        <c:axId val="16811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Delivery_Time_Min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1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1323975</xdr:colOff>
      <xdr:row>10</xdr:row>
      <xdr:rowOff>14287</xdr:rowOff>
    </xdr:from>
    <xdr:to>
      <xdr:col>11</xdr:col>
      <xdr:colOff>285750</xdr:colOff>
      <xdr:row>24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A96D32-9070-3473-440E-CBBD7A1B0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2</xdr:row>
      <xdr:rowOff>42862</xdr:rowOff>
    </xdr:from>
    <xdr:to>
      <xdr:col>11</xdr:col>
      <xdr:colOff>590550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9D29E4-3203-FE43-2536-FEB7E4F9F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5</xdr:row>
      <xdr:rowOff>138112</xdr:rowOff>
    </xdr:from>
    <xdr:to>
      <xdr:col>12</xdr:col>
      <xdr:colOff>228600</xdr:colOff>
      <xdr:row>20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ECEB44-4B90-4856-1A45-3C714011C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7</xdr:row>
      <xdr:rowOff>109537</xdr:rowOff>
    </xdr:from>
    <xdr:to>
      <xdr:col>14</xdr:col>
      <xdr:colOff>523875</xdr:colOff>
      <xdr:row>21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47512-0D98-E7A0-D51D-4155D88AC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6</xdr:row>
      <xdr:rowOff>61912</xdr:rowOff>
    </xdr:from>
    <xdr:to>
      <xdr:col>15</xdr:col>
      <xdr:colOff>85725</xdr:colOff>
      <xdr:row>20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A2E1BC-0693-8AF8-3AED-4076780D4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9</xdr:row>
      <xdr:rowOff>157162</xdr:rowOff>
    </xdr:from>
    <xdr:to>
      <xdr:col>13</xdr:col>
      <xdr:colOff>38100</xdr:colOff>
      <xdr:row>24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4101C4-2D5B-06B0-DA51-79C76E200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7</xdr:row>
      <xdr:rowOff>14287</xdr:rowOff>
    </xdr:from>
    <xdr:to>
      <xdr:col>12</xdr:col>
      <xdr:colOff>514350</xdr:colOff>
      <xdr:row>21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602D4-D1AE-CA20-1024-9A8533D49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01.986049537038" createdVersion="8" refreshedVersion="8" minRefreshableVersion="3" recordCount="300" xr:uid="{B14BCBFD-9E7F-4F5B-8406-45EF52D2B0B7}">
  <cacheSource type="worksheet">
    <worksheetSource ref="B1:C301" sheet="Fuel Consumption per Kilometre "/>
  </cacheSource>
  <cacheFields count="2">
    <cacheField name="Vehicle_ID" numFmtId="0">
      <sharedItems count="7">
        <s v="V202"/>
        <s v="V206"/>
        <s v="V201"/>
        <s v="V204"/>
        <s v="V203"/>
        <s v="V205"/>
        <s v="V207"/>
      </sharedItems>
    </cacheField>
    <cacheField name="Fuel_per_km" numFmtId="0">
      <sharedItems containsSemiMixedTypes="0" containsString="0" containsNumber="1" minValue="0.1112964366944655" maxValue="0.166649797570850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01.997794907409" createdVersion="8" refreshedVersion="8" minRefreshableVersion="3" recordCount="300" xr:uid="{95C8C37C-1E6E-45BC-9EDC-E9C1EAD1815B}">
  <cacheSource type="worksheet">
    <worksheetSource ref="B1:C301" sheet="Delivery Delays by Weather Type"/>
  </cacheSource>
  <cacheFields count="2">
    <cacheField name="Weather" numFmtId="0">
      <sharedItems count="4">
        <s v="Clear"/>
        <s v="Rain"/>
        <s v="Cloudy"/>
        <s v="Windy"/>
      </sharedItems>
    </cacheField>
    <cacheField name="Delay_Min" numFmtId="0">
      <sharedItems containsSemiMixedTypes="0" containsString="0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02.003951851853" createdVersion="8" refreshedVersion="8" minRefreshableVersion="3" recordCount="300" xr:uid="{387E1798-693B-42EF-8798-5DDDBA984D35}">
  <cacheSource type="worksheet">
    <worksheetSource ref="A1:Q301" sheet="Sheet1"/>
  </cacheSource>
  <cacheFields count="17">
    <cacheField name="Delivery_ID" numFmtId="0">
      <sharedItems/>
    </cacheField>
    <cacheField name="Company_Name" numFmtId="0">
      <sharedItems/>
    </cacheField>
    <cacheField name="Product_Type" numFmtId="0">
      <sharedItems/>
    </cacheField>
    <cacheField name="Vehicle_ID" numFmtId="0">
      <sharedItems count="7">
        <s v="V202"/>
        <s v="V206"/>
        <s v="V201"/>
        <s v="V204"/>
        <s v="V203"/>
        <s v="V205"/>
        <s v="V207"/>
      </sharedItems>
    </cacheField>
    <cacheField name="Driver_Name" numFmtId="0">
      <sharedItems/>
    </cacheField>
    <cacheField name="Source_Location" numFmtId="0">
      <sharedItems/>
    </cacheField>
    <cacheField name="Destination" numFmtId="0">
      <sharedItems/>
    </cacheField>
    <cacheField name="Distance_km" numFmtId="0">
      <sharedItems containsSemiMixedTypes="0" containsString="0" containsNumber="1" minValue="10.3" maxValue="245.9"/>
    </cacheField>
    <cacheField name="Delivery_Start" numFmtId="0">
      <sharedItems/>
    </cacheField>
    <cacheField name="Delivery_End" numFmtId="0">
      <sharedItems/>
    </cacheField>
    <cacheField name="Fuel_Used_Liters" numFmtId="0">
      <sharedItems containsSemiMixedTypes="0" containsString="0" containsNumber="1" minValue="1.42" maxValue="40.07"/>
    </cacheField>
    <cacheField name="Delivery_Time_Min" numFmtId="0">
      <sharedItems containsSemiMixedTypes="0" containsString="0" containsNumber="1" containsInteger="1" minValue="45" maxValue="240"/>
    </cacheField>
    <cacheField name="Avg_Speed_kmph" numFmtId="0">
      <sharedItems containsSemiMixedTypes="0" containsString="0" containsNumber="1" minValue="3.6" maxValue="98.6"/>
    </cacheField>
    <cacheField name="Weather" numFmtId="0">
      <sharedItems/>
    </cacheField>
    <cacheField name="Delay_Min" numFmtId="0">
      <sharedItems containsSemiMixedTypes="0" containsString="0" containsNumber="1" containsInteger="1" minValue="0" maxValue="25"/>
    </cacheField>
    <cacheField name="Delivery_Status" numFmtId="0">
      <sharedItems/>
    </cacheField>
    <cacheField name="Cost_LKR" numFmtId="43">
      <sharedItems containsSemiMixedTypes="0" containsString="0" containsNumber="1" minValue="393.34" maxValue="11099.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n v="0.11470721743077621"/>
  </r>
  <r>
    <x v="1"/>
    <n v="0.13411764705882354"/>
  </r>
  <r>
    <x v="2"/>
    <n v="0.11995104039167687"/>
  </r>
  <r>
    <x v="0"/>
    <n v="0.15940594059405941"/>
  </r>
  <r>
    <x v="3"/>
    <n v="0.14150537634408603"/>
  </r>
  <r>
    <x v="2"/>
    <n v="0.16596858638743453"/>
  </r>
  <r>
    <x v="0"/>
    <n v="0.13930131004366811"/>
  </r>
  <r>
    <x v="4"/>
    <n v="0.13077777777777777"/>
  </r>
  <r>
    <x v="3"/>
    <n v="0.13544390915347557"/>
  </r>
  <r>
    <x v="4"/>
    <n v="0.13009238891333039"/>
  </r>
  <r>
    <x v="0"/>
    <n v="0.11661237785016287"/>
  </r>
  <r>
    <x v="2"/>
    <n v="0.13058823529411764"/>
  </r>
  <r>
    <x v="2"/>
    <n v="0.13285223367697593"/>
  </r>
  <r>
    <x v="5"/>
    <n v="0.13006993006993006"/>
  </r>
  <r>
    <x v="0"/>
    <n v="0.13277467411545624"/>
  </r>
  <r>
    <x v="5"/>
    <n v="0.11493055555555556"/>
  </r>
  <r>
    <x v="2"/>
    <n v="0.12622377622377623"/>
  </r>
  <r>
    <x v="4"/>
    <n v="0.16441199077632593"/>
  </r>
  <r>
    <x v="5"/>
    <n v="0.1544917756221004"/>
  </r>
  <r>
    <x v="0"/>
    <n v="0.12706422018348623"/>
  </r>
  <r>
    <x v="6"/>
    <n v="0.13250807319698601"/>
  </r>
  <r>
    <x v="1"/>
    <n v="0.11170141223940822"/>
  </r>
  <r>
    <x v="6"/>
    <n v="0.12190889370932753"/>
  </r>
  <r>
    <x v="6"/>
    <n v="0.13748427672955973"/>
  </r>
  <r>
    <x v="4"/>
    <n v="0.11489117983963344"/>
  </r>
  <r>
    <x v="4"/>
    <n v="0.15858085808580857"/>
  </r>
  <r>
    <x v="2"/>
    <n v="0.15833333333333335"/>
  </r>
  <r>
    <x v="3"/>
    <n v="0.16521739130434782"/>
  </r>
  <r>
    <x v="2"/>
    <n v="0.11467391304347826"/>
  </r>
  <r>
    <x v="5"/>
    <n v="0.14029850746268657"/>
  </r>
  <r>
    <x v="0"/>
    <n v="0.14534534534534535"/>
  </r>
  <r>
    <x v="3"/>
    <n v="0.12717287488061127"/>
  </r>
  <r>
    <x v="6"/>
    <n v="0.15064516129032257"/>
  </r>
  <r>
    <x v="2"/>
    <n v="0.15766974015088012"/>
  </r>
  <r>
    <x v="1"/>
    <n v="0.11952326901248581"/>
  </r>
  <r>
    <x v="4"/>
    <n v="0.14838709677419357"/>
  </r>
  <r>
    <x v="1"/>
    <n v="0.13226950354609929"/>
  </r>
  <r>
    <x v="5"/>
    <n v="0.13"/>
  </r>
  <r>
    <x v="4"/>
    <n v="0.12900528169014083"/>
  </r>
  <r>
    <x v="3"/>
    <n v="0.12520231213872832"/>
  </r>
  <r>
    <x v="4"/>
    <n v="0.11478599221789884"/>
  </r>
  <r>
    <x v="4"/>
    <n v="0.14182825484764541"/>
  </r>
  <r>
    <x v="0"/>
    <n v="0.12444146559428061"/>
  </r>
  <r>
    <x v="0"/>
    <n v="0.11952026468155499"/>
  </r>
  <r>
    <x v="5"/>
    <n v="0.11395490554539915"/>
  </r>
  <r>
    <x v="0"/>
    <n v="0.16664330763840227"/>
  </r>
  <r>
    <x v="1"/>
    <n v="0.12672991071428572"/>
  </r>
  <r>
    <x v="5"/>
    <n v="0.11661237785016287"/>
  </r>
  <r>
    <x v="1"/>
    <n v="0.12635574837310196"/>
  </r>
  <r>
    <x v="0"/>
    <n v="0.12114989733059549"/>
  </r>
  <r>
    <x v="4"/>
    <n v="0.14469453376205788"/>
  </r>
  <r>
    <x v="6"/>
    <n v="0.12217194570135746"/>
  </r>
  <r>
    <x v="5"/>
    <n v="0.12680652680652682"/>
  </r>
  <r>
    <x v="5"/>
    <n v="0.15433403805496829"/>
  </r>
  <r>
    <x v="3"/>
    <n v="0.14228473998294972"/>
  </r>
  <r>
    <x v="1"/>
    <n v="0.13337687785760943"/>
  </r>
  <r>
    <x v="3"/>
    <n v="0.16365834004834812"/>
  </r>
  <r>
    <x v="2"/>
    <n v="0.12927400468384073"/>
  </r>
  <r>
    <x v="3"/>
    <n v="0.14220907297830374"/>
  </r>
  <r>
    <x v="4"/>
    <n v="0.15919629057187018"/>
  </r>
  <r>
    <x v="4"/>
    <n v="0.1218227424749164"/>
  </r>
  <r>
    <x v="3"/>
    <n v="0.1473972602739726"/>
  </r>
  <r>
    <x v="5"/>
    <n v="0.14161606725829051"/>
  </r>
  <r>
    <x v="3"/>
    <n v="0.16664979757085022"/>
  </r>
  <r>
    <x v="1"/>
    <n v="0.12846410684474124"/>
  </r>
  <r>
    <x v="5"/>
    <n v="0.14209115281501342"/>
  </r>
  <r>
    <x v="5"/>
    <n v="0.16334841628959273"/>
  </r>
  <r>
    <x v="0"/>
    <n v="0.13502857142857141"/>
  </r>
  <r>
    <x v="1"/>
    <n v="0.13047746541722444"/>
  </r>
  <r>
    <x v="2"/>
    <n v="0.1640326975476839"/>
  </r>
  <r>
    <x v="6"/>
    <n v="0.15174892189746048"/>
  </r>
  <r>
    <x v="5"/>
    <n v="0.15353195579048534"/>
  </r>
  <r>
    <x v="5"/>
    <n v="0.13429733393583371"/>
  </r>
  <r>
    <x v="2"/>
    <n v="0.14381818181818182"/>
  </r>
  <r>
    <x v="5"/>
    <n v="0.14813043478260871"/>
  </r>
  <r>
    <x v="1"/>
    <n v="0.11306098964326811"/>
  </r>
  <r>
    <x v="1"/>
    <n v="0.12352941176470587"/>
  </r>
  <r>
    <x v="1"/>
    <n v="0.162640977443609"/>
  </r>
  <r>
    <x v="3"/>
    <n v="0.14417309340188517"/>
  </r>
  <r>
    <x v="3"/>
    <n v="0.1197160883280757"/>
  </r>
  <r>
    <x v="2"/>
    <n v="0.1118874773139746"/>
  </r>
  <r>
    <x v="4"/>
    <n v="0.13512304250559284"/>
  </r>
  <r>
    <x v="0"/>
    <n v="0.13330232558139535"/>
  </r>
  <r>
    <x v="0"/>
    <n v="0.1426112510495382"/>
  </r>
  <r>
    <x v="5"/>
    <n v="0.14058154235145384"/>
  </r>
  <r>
    <x v="5"/>
    <n v="0.15430463576158943"/>
  </r>
  <r>
    <x v="4"/>
    <n v="0.13333333333333333"/>
  </r>
  <r>
    <x v="3"/>
    <n v="0.13738317757009344"/>
  </r>
  <r>
    <x v="0"/>
    <n v="0.15936430317848413"/>
  </r>
  <r>
    <x v="6"/>
    <n v="0.12296368989205102"/>
  </r>
  <r>
    <x v="0"/>
    <n v="0.13786407766990288"/>
  </r>
  <r>
    <x v="1"/>
    <n v="0.11397260273972604"/>
  </r>
  <r>
    <x v="0"/>
    <n v="0.12108150470219435"/>
  </r>
  <r>
    <x v="6"/>
    <n v="0.13793103448275865"/>
  </r>
  <r>
    <x v="4"/>
    <n v="0.11851851851851852"/>
  </r>
  <r>
    <x v="5"/>
    <n v="0.12516590096988259"/>
  </r>
  <r>
    <x v="0"/>
    <n v="0.13492292870905589"/>
  </r>
  <r>
    <x v="6"/>
    <n v="0.15957446808510636"/>
  </r>
  <r>
    <x v="4"/>
    <n v="0.1206684256816183"/>
  </r>
  <r>
    <x v="1"/>
    <n v="0.12660280029476789"/>
  </r>
  <r>
    <x v="3"/>
    <n v="0.12171052631578949"/>
  </r>
  <r>
    <x v="5"/>
    <n v="0.15899280575539568"/>
  </r>
  <r>
    <x v="6"/>
    <n v="0.13473520249221183"/>
  </r>
  <r>
    <x v="2"/>
    <n v="0.12991666666666665"/>
  </r>
  <r>
    <x v="1"/>
    <n v="0.14553376906318083"/>
  </r>
  <r>
    <x v="1"/>
    <n v="0.14380907372400756"/>
  </r>
  <r>
    <x v="4"/>
    <n v="0.14782388663967613"/>
  </r>
  <r>
    <x v="6"/>
    <n v="0.13755803156917362"/>
  </r>
  <r>
    <x v="4"/>
    <n v="0.13801652892561983"/>
  </r>
  <r>
    <x v="1"/>
    <n v="0.13520361990950225"/>
  </r>
  <r>
    <x v="3"/>
    <n v="0.14290780141843973"/>
  </r>
  <r>
    <x v="0"/>
    <n v="0.15807916937053862"/>
  </r>
  <r>
    <x v="0"/>
    <n v="0.14290612944706388"/>
  </r>
  <r>
    <x v="6"/>
    <n v="0.15363372093023256"/>
  </r>
  <r>
    <x v="4"/>
    <n v="0.13797549967762734"/>
  </r>
  <r>
    <x v="2"/>
    <n v="0.14309185959671397"/>
  </r>
  <r>
    <x v="6"/>
    <n v="0.11385159010600707"/>
  </r>
  <r>
    <x v="1"/>
    <n v="0.11910910264686894"/>
  </r>
  <r>
    <x v="5"/>
    <n v="0.11648902821316613"/>
  </r>
  <r>
    <x v="2"/>
    <n v="0.15252976190476189"/>
  </r>
  <r>
    <x v="3"/>
    <n v="0.11229508196721312"/>
  </r>
  <r>
    <x v="4"/>
    <n v="0.12748344370860928"/>
  </r>
  <r>
    <x v="2"/>
    <n v="0.12157006603081437"/>
  </r>
  <r>
    <x v="0"/>
    <n v="0.15232843137254903"/>
  </r>
  <r>
    <x v="3"/>
    <n v="0.11614372469635628"/>
  </r>
  <r>
    <x v="2"/>
    <n v="0.14586693548387097"/>
  </r>
  <r>
    <x v="3"/>
    <n v="0.13406593406593406"/>
  </r>
  <r>
    <x v="6"/>
    <n v="0.12969543147208121"/>
  </r>
  <r>
    <x v="6"/>
    <n v="0.14476584022038566"/>
  </r>
  <r>
    <x v="1"/>
    <n v="0.12274074074074075"/>
  </r>
  <r>
    <x v="0"/>
    <n v="0.1280701754385965"/>
  </r>
  <r>
    <x v="0"/>
    <n v="0.12643442622950821"/>
  </r>
  <r>
    <x v="1"/>
    <n v="0.12423963133640553"/>
  </r>
  <r>
    <x v="1"/>
    <n v="0.16511852926947268"/>
  </r>
  <r>
    <x v="1"/>
    <n v="0.1455922865013774"/>
  </r>
  <r>
    <x v="5"/>
    <n v="0.14167018135807677"/>
  </r>
  <r>
    <x v="5"/>
    <n v="0.11649625085207908"/>
  </r>
  <r>
    <x v="3"/>
    <n v="0.1225250278086763"/>
  </r>
  <r>
    <x v="6"/>
    <n v="0.16529466791393826"/>
  </r>
  <r>
    <x v="0"/>
    <n v="0.13060109289617489"/>
  </r>
  <r>
    <x v="2"/>
    <n v="0.14586597040905136"/>
  </r>
  <r>
    <x v="1"/>
    <n v="0.14510288065843621"/>
  </r>
  <r>
    <x v="6"/>
    <n v="0.16602150537634408"/>
  </r>
  <r>
    <x v="0"/>
    <n v="0.13245192307692308"/>
  </r>
  <r>
    <x v="1"/>
    <n v="0.13328369322412506"/>
  </r>
  <r>
    <x v="0"/>
    <n v="0.13400611620795108"/>
  </r>
  <r>
    <x v="2"/>
    <n v="0.13741007194244603"/>
  </r>
  <r>
    <x v="0"/>
    <n v="0.15350248207391062"/>
  </r>
  <r>
    <x v="5"/>
    <n v="0.1608133971291866"/>
  </r>
  <r>
    <x v="3"/>
    <n v="0.14527595884003741"/>
  </r>
  <r>
    <x v="1"/>
    <n v="0.11485992691839221"/>
  </r>
  <r>
    <x v="5"/>
    <n v="0.11266968325791854"/>
  </r>
  <r>
    <x v="6"/>
    <n v="0.14651665945478148"/>
  </r>
  <r>
    <x v="3"/>
    <n v="0.13167281672816727"/>
  </r>
  <r>
    <x v="6"/>
    <n v="0.15463242698892246"/>
  </r>
  <r>
    <x v="4"/>
    <n v="0.13486590038314178"/>
  </r>
  <r>
    <x v="1"/>
    <n v="0.12581747193753051"/>
  </r>
  <r>
    <x v="3"/>
    <n v="0.11554752066115703"/>
  </r>
  <r>
    <x v="4"/>
    <n v="0.13030814689742506"/>
  </r>
  <r>
    <x v="3"/>
    <n v="0.15784313725490196"/>
  </r>
  <r>
    <x v="4"/>
    <n v="0.11340482573726543"/>
  </r>
  <r>
    <x v="2"/>
    <n v="0.1173848439821694"/>
  </r>
  <r>
    <x v="6"/>
    <n v="0.13785310734463277"/>
  </r>
  <r>
    <x v="3"/>
    <n v="0.13996549741230591"/>
  </r>
  <r>
    <x v="6"/>
    <n v="0.13649798477384684"/>
  </r>
  <r>
    <x v="0"/>
    <n v="0.15683297180043385"/>
  </r>
  <r>
    <x v="1"/>
    <n v="0.12035294117647059"/>
  </r>
  <r>
    <x v="5"/>
    <n v="0.15598219254312745"/>
  </r>
  <r>
    <x v="3"/>
    <n v="0.14494047619047618"/>
  </r>
  <r>
    <x v="1"/>
    <n v="0.13065693430656933"/>
  </r>
  <r>
    <x v="0"/>
    <n v="0.11285393258426966"/>
  </r>
  <r>
    <x v="4"/>
    <n v="0.125"/>
  </r>
  <r>
    <x v="1"/>
    <n v="0.11982543640897754"/>
  </r>
  <r>
    <x v="3"/>
    <n v="0.11736242884250472"/>
  </r>
  <r>
    <x v="6"/>
    <n v="0.11627906976744186"/>
  </r>
  <r>
    <x v="0"/>
    <n v="0.15286885245901638"/>
  </r>
  <r>
    <x v="0"/>
    <n v="0.1662655601659751"/>
  </r>
  <r>
    <x v="1"/>
    <n v="0.11450903761602346"/>
  </r>
  <r>
    <x v="5"/>
    <n v="0.1601713062098501"/>
  </r>
  <r>
    <x v="3"/>
    <n v="0.14682213077274806"/>
  </r>
  <r>
    <x v="6"/>
    <n v="0.14844720496894409"/>
  </r>
  <r>
    <x v="1"/>
    <n v="0.13121693121693123"/>
  </r>
  <r>
    <x v="0"/>
    <n v="0.12992481203007519"/>
  </r>
  <r>
    <x v="3"/>
    <n v="0.16056034482758622"/>
  </r>
  <r>
    <x v="5"/>
    <n v="0.11776595744680851"/>
  </r>
  <r>
    <x v="2"/>
    <n v="0.11966955153422504"/>
  </r>
  <r>
    <x v="3"/>
    <n v="0.12690058479532162"/>
  </r>
  <r>
    <x v="0"/>
    <n v="0.12539877300613497"/>
  </r>
  <r>
    <x v="0"/>
    <n v="0.1489010989010989"/>
  </r>
  <r>
    <x v="1"/>
    <n v="0.15463917525773194"/>
  </r>
  <r>
    <x v="5"/>
    <n v="0.14263157894736841"/>
  </r>
  <r>
    <x v="1"/>
    <n v="0.13998686802363755"/>
  </r>
  <r>
    <x v="1"/>
    <n v="0.11470104223806911"/>
  </r>
  <r>
    <x v="0"/>
    <n v="0.12953367875647667"/>
  </r>
  <r>
    <x v="1"/>
    <n v="0.13037190082644629"/>
  </r>
  <r>
    <x v="6"/>
    <n v="0.1401713469776297"/>
  </r>
  <r>
    <x v="1"/>
    <n v="0.14575432811211872"/>
  </r>
  <r>
    <x v="1"/>
    <n v="0.13590480098481739"/>
  </r>
  <r>
    <x v="5"/>
    <n v="0.13322286661143329"/>
  </r>
  <r>
    <x v="3"/>
    <n v="0.14228923920493489"/>
  </r>
  <r>
    <x v="1"/>
    <n v="0.14518096787311915"/>
  </r>
  <r>
    <x v="3"/>
    <n v="0.15689243027888447"/>
  </r>
  <r>
    <x v="6"/>
    <n v="0.1554488989271598"/>
  </r>
  <r>
    <x v="1"/>
    <n v="0.14845605700712589"/>
  </r>
  <r>
    <x v="0"/>
    <n v="0.12697961119013751"/>
  </r>
  <r>
    <x v="3"/>
    <n v="0.14414607948442534"/>
  </r>
  <r>
    <x v="3"/>
    <n v="0.15718816067653277"/>
  </r>
  <r>
    <x v="1"/>
    <n v="0.11254416961130742"/>
  </r>
  <r>
    <x v="6"/>
    <n v="0.1589435774309724"/>
  </r>
  <r>
    <x v="2"/>
    <n v="0.13046874999999999"/>
  </r>
  <r>
    <x v="5"/>
    <n v="0.11649297689170821"/>
  </r>
  <r>
    <x v="5"/>
    <n v="0.16476190476190475"/>
  </r>
  <r>
    <x v="4"/>
    <n v="0.13495652173913042"/>
  </r>
  <r>
    <x v="4"/>
    <n v="0.1181981981981982"/>
  </r>
  <r>
    <x v="0"/>
    <n v="0.12402135231316727"/>
  </r>
  <r>
    <x v="4"/>
    <n v="0.16338870431893687"/>
  </r>
  <r>
    <x v="1"/>
    <n v="0.13048986486486486"/>
  </r>
  <r>
    <x v="1"/>
    <n v="0.13577981651376148"/>
  </r>
  <r>
    <x v="1"/>
    <n v="0.13153611393692777"/>
  </r>
  <r>
    <x v="3"/>
    <n v="0.13645161290322583"/>
  </r>
  <r>
    <x v="5"/>
    <n v="0.11476702508960575"/>
  </r>
  <r>
    <x v="6"/>
    <n v="0.11227799227799228"/>
  </r>
  <r>
    <x v="1"/>
    <n v="0.14475859069160504"/>
  </r>
  <r>
    <x v="5"/>
    <n v="0.13828647925033466"/>
  </r>
  <r>
    <x v="3"/>
    <n v="0.16406869220607662"/>
  </r>
  <r>
    <x v="5"/>
    <n v="0.13062583222370175"/>
  </r>
  <r>
    <x v="6"/>
    <n v="0.161840490797546"/>
  </r>
  <r>
    <x v="1"/>
    <n v="0.14373149062191512"/>
  </r>
  <r>
    <x v="6"/>
    <n v="0.15307443365695794"/>
  </r>
  <r>
    <x v="1"/>
    <n v="0.11478599221789884"/>
  </r>
  <r>
    <x v="1"/>
    <n v="0.13211009174311925"/>
  </r>
  <r>
    <x v="3"/>
    <n v="0.12086107412339103"/>
  </r>
  <r>
    <x v="5"/>
    <n v="0.1112964366944655"/>
  </r>
  <r>
    <x v="5"/>
    <n v="0.13077625570776255"/>
  </r>
  <r>
    <x v="2"/>
    <n v="0.12125000000000001"/>
  </r>
  <r>
    <x v="5"/>
    <n v="0.13546448087431692"/>
  </r>
  <r>
    <x v="3"/>
    <n v="0.16449925261584455"/>
  </r>
  <r>
    <x v="6"/>
    <n v="0.14705882352941174"/>
  </r>
  <r>
    <x v="4"/>
    <n v="0.11915802318486883"/>
  </r>
  <r>
    <x v="0"/>
    <n v="0.13014553014553012"/>
  </r>
  <r>
    <x v="1"/>
    <n v="0.14537037037037034"/>
  </r>
  <r>
    <x v="5"/>
    <n v="0.12540861812778603"/>
  </r>
  <r>
    <x v="5"/>
    <n v="0.14397590361445783"/>
  </r>
  <r>
    <x v="6"/>
    <n v="0.13247025892232331"/>
  </r>
  <r>
    <x v="0"/>
    <n v="0.13737811484290358"/>
  </r>
  <r>
    <x v="3"/>
    <n v="0.16275992438563328"/>
  </r>
  <r>
    <x v="5"/>
    <n v="0.13561290322580644"/>
  </r>
  <r>
    <x v="1"/>
    <n v="0.11963190184049079"/>
  </r>
  <r>
    <x v="5"/>
    <n v="0.15831202046035805"/>
  </r>
  <r>
    <x v="0"/>
    <n v="0.14518388791593692"/>
  </r>
  <r>
    <x v="4"/>
    <n v="0.11725584182144996"/>
  </r>
  <r>
    <x v="2"/>
    <n v="0.13890030832476877"/>
  </r>
  <r>
    <x v="5"/>
    <n v="0.1470301057770545"/>
  </r>
  <r>
    <x v="6"/>
    <n v="0.13077699293642786"/>
  </r>
  <r>
    <x v="3"/>
    <n v="0.11613418530351437"/>
  </r>
  <r>
    <x v="4"/>
    <n v="0.16268656716417909"/>
  </r>
  <r>
    <x v="6"/>
    <n v="0.1270440251572327"/>
  </r>
  <r>
    <x v="4"/>
    <n v="0.11504702194357368"/>
  </r>
  <r>
    <x v="5"/>
    <n v="0.14397905759162302"/>
  </r>
  <r>
    <x v="2"/>
    <n v="0.14627039627039629"/>
  </r>
  <r>
    <x v="1"/>
    <n v="0.1644574780058651"/>
  </r>
  <r>
    <x v="0"/>
    <n v="0.14439946018893388"/>
  </r>
  <r>
    <x v="0"/>
    <n v="0.11454918032786886"/>
  </r>
  <r>
    <x v="4"/>
    <n v="0.13682771194165907"/>
  </r>
  <r>
    <x v="1"/>
    <n v="0.12410008779631254"/>
  </r>
  <r>
    <x v="5"/>
    <n v="0.1512820512820513"/>
  </r>
  <r>
    <x v="3"/>
    <n v="0.13846153846153844"/>
  </r>
  <r>
    <x v="4"/>
    <n v="0.11599999999999999"/>
  </r>
  <r>
    <x v="5"/>
    <n v="0.13933035714285716"/>
  </r>
  <r>
    <x v="1"/>
    <n v="0.15918979744936232"/>
  </r>
  <r>
    <x v="6"/>
    <n v="0.15105485232067509"/>
  </r>
  <r>
    <x v="4"/>
    <n v="0.1141304347826087"/>
  </r>
  <r>
    <x v="5"/>
    <n v="0.11883495145631068"/>
  </r>
  <r>
    <x v="2"/>
    <n v="0.11161578555472822"/>
  </r>
  <r>
    <x v="0"/>
    <n v="0.12429149797570853"/>
  </r>
  <r>
    <x v="6"/>
    <n v="0.11528455284552845"/>
  </r>
  <r>
    <x v="5"/>
    <n v="0.15278044103547461"/>
  </r>
  <r>
    <x v="4"/>
    <n v="0.14288747346072186"/>
  </r>
  <r>
    <x v="5"/>
    <n v="0.11357702349869452"/>
  </r>
  <r>
    <x v="1"/>
    <n v="0.14420449537241076"/>
  </r>
  <r>
    <x v="4"/>
    <n v="0.11506849315068493"/>
  </r>
  <r>
    <x v="2"/>
    <n v="0.16656410256410256"/>
  </r>
  <r>
    <x v="5"/>
    <n v="0.12101616628175521"/>
  </r>
  <r>
    <x v="2"/>
    <n v="0.16201117318435754"/>
  </r>
  <r>
    <x v="4"/>
    <n v="0.12657142857142856"/>
  </r>
  <r>
    <x v="0"/>
    <n v="0.12872101720269261"/>
  </r>
  <r>
    <x v="3"/>
    <n v="0.13399701343952217"/>
  </r>
  <r>
    <x v="1"/>
    <n v="0.13743492664458115"/>
  </r>
  <r>
    <x v="1"/>
    <n v="0.12002518891687655"/>
  </r>
  <r>
    <x v="2"/>
    <n v="0.14565217391304344"/>
  </r>
  <r>
    <x v="4"/>
    <n v="0.16439330543933053"/>
  </r>
  <r>
    <x v="1"/>
    <n v="0.12073170731707318"/>
  </r>
  <r>
    <x v="3"/>
    <n v="0.15087983911513322"/>
  </r>
  <r>
    <x v="4"/>
    <n v="0.13140218303946263"/>
  </r>
  <r>
    <x v="1"/>
    <n v="0.11727395411605938"/>
  </r>
  <r>
    <x v="2"/>
    <n v="0.12020592020592021"/>
  </r>
  <r>
    <x v="2"/>
    <n v="0.15995717344753746"/>
  </r>
  <r>
    <x v="4"/>
    <n v="0.1188883170355121"/>
  </r>
  <r>
    <x v="2"/>
    <n v="0.16374269005847952"/>
  </r>
  <r>
    <x v="5"/>
    <n v="0.125603864734299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n v="5"/>
  </r>
  <r>
    <x v="1"/>
    <n v="20"/>
  </r>
  <r>
    <x v="1"/>
    <n v="15"/>
  </r>
  <r>
    <x v="1"/>
    <n v="5"/>
  </r>
  <r>
    <x v="2"/>
    <n v="15"/>
  </r>
  <r>
    <x v="0"/>
    <n v="10"/>
  </r>
  <r>
    <x v="0"/>
    <n v="15"/>
  </r>
  <r>
    <x v="0"/>
    <n v="0"/>
  </r>
  <r>
    <x v="1"/>
    <n v="10"/>
  </r>
  <r>
    <x v="3"/>
    <n v="25"/>
  </r>
  <r>
    <x v="3"/>
    <n v="0"/>
  </r>
  <r>
    <x v="1"/>
    <n v="20"/>
  </r>
  <r>
    <x v="2"/>
    <n v="10"/>
  </r>
  <r>
    <x v="0"/>
    <n v="20"/>
  </r>
  <r>
    <x v="2"/>
    <n v="20"/>
  </r>
  <r>
    <x v="3"/>
    <n v="0"/>
  </r>
  <r>
    <x v="2"/>
    <n v="25"/>
  </r>
  <r>
    <x v="2"/>
    <n v="20"/>
  </r>
  <r>
    <x v="2"/>
    <n v="15"/>
  </r>
  <r>
    <x v="0"/>
    <n v="20"/>
  </r>
  <r>
    <x v="0"/>
    <n v="10"/>
  </r>
  <r>
    <x v="0"/>
    <n v="25"/>
  </r>
  <r>
    <x v="0"/>
    <n v="20"/>
  </r>
  <r>
    <x v="3"/>
    <n v="15"/>
  </r>
  <r>
    <x v="2"/>
    <n v="10"/>
  </r>
  <r>
    <x v="0"/>
    <n v="5"/>
  </r>
  <r>
    <x v="2"/>
    <n v="15"/>
  </r>
  <r>
    <x v="1"/>
    <n v="20"/>
  </r>
  <r>
    <x v="1"/>
    <n v="15"/>
  </r>
  <r>
    <x v="2"/>
    <n v="25"/>
  </r>
  <r>
    <x v="1"/>
    <n v="10"/>
  </r>
  <r>
    <x v="1"/>
    <n v="20"/>
  </r>
  <r>
    <x v="2"/>
    <n v="25"/>
  </r>
  <r>
    <x v="3"/>
    <n v="0"/>
  </r>
  <r>
    <x v="2"/>
    <n v="10"/>
  </r>
  <r>
    <x v="0"/>
    <n v="10"/>
  </r>
  <r>
    <x v="0"/>
    <n v="5"/>
  </r>
  <r>
    <x v="2"/>
    <n v="0"/>
  </r>
  <r>
    <x v="3"/>
    <n v="0"/>
  </r>
  <r>
    <x v="2"/>
    <n v="20"/>
  </r>
  <r>
    <x v="3"/>
    <n v="0"/>
  </r>
  <r>
    <x v="0"/>
    <n v="5"/>
  </r>
  <r>
    <x v="2"/>
    <n v="0"/>
  </r>
  <r>
    <x v="3"/>
    <n v="0"/>
  </r>
  <r>
    <x v="3"/>
    <n v="25"/>
  </r>
  <r>
    <x v="0"/>
    <n v="15"/>
  </r>
  <r>
    <x v="0"/>
    <n v="10"/>
  </r>
  <r>
    <x v="2"/>
    <n v="0"/>
  </r>
  <r>
    <x v="0"/>
    <n v="25"/>
  </r>
  <r>
    <x v="3"/>
    <n v="0"/>
  </r>
  <r>
    <x v="1"/>
    <n v="10"/>
  </r>
  <r>
    <x v="2"/>
    <n v="25"/>
  </r>
  <r>
    <x v="1"/>
    <n v="25"/>
  </r>
  <r>
    <x v="2"/>
    <n v="5"/>
  </r>
  <r>
    <x v="3"/>
    <n v="20"/>
  </r>
  <r>
    <x v="2"/>
    <n v="25"/>
  </r>
  <r>
    <x v="2"/>
    <n v="10"/>
  </r>
  <r>
    <x v="0"/>
    <n v="5"/>
  </r>
  <r>
    <x v="3"/>
    <n v="15"/>
  </r>
  <r>
    <x v="0"/>
    <n v="5"/>
  </r>
  <r>
    <x v="0"/>
    <n v="5"/>
  </r>
  <r>
    <x v="1"/>
    <n v="10"/>
  </r>
  <r>
    <x v="0"/>
    <n v="10"/>
  </r>
  <r>
    <x v="2"/>
    <n v="25"/>
  </r>
  <r>
    <x v="3"/>
    <n v="10"/>
  </r>
  <r>
    <x v="2"/>
    <n v="5"/>
  </r>
  <r>
    <x v="2"/>
    <n v="25"/>
  </r>
  <r>
    <x v="1"/>
    <n v="5"/>
  </r>
  <r>
    <x v="3"/>
    <n v="0"/>
  </r>
  <r>
    <x v="3"/>
    <n v="25"/>
  </r>
  <r>
    <x v="2"/>
    <n v="10"/>
  </r>
  <r>
    <x v="1"/>
    <n v="15"/>
  </r>
  <r>
    <x v="2"/>
    <n v="0"/>
  </r>
  <r>
    <x v="0"/>
    <n v="0"/>
  </r>
  <r>
    <x v="0"/>
    <n v="25"/>
  </r>
  <r>
    <x v="1"/>
    <n v="15"/>
  </r>
  <r>
    <x v="0"/>
    <n v="0"/>
  </r>
  <r>
    <x v="2"/>
    <n v="5"/>
  </r>
  <r>
    <x v="1"/>
    <n v="0"/>
  </r>
  <r>
    <x v="3"/>
    <n v="5"/>
  </r>
  <r>
    <x v="1"/>
    <n v="10"/>
  </r>
  <r>
    <x v="1"/>
    <n v="0"/>
  </r>
  <r>
    <x v="1"/>
    <n v="20"/>
  </r>
  <r>
    <x v="3"/>
    <n v="20"/>
  </r>
  <r>
    <x v="1"/>
    <n v="20"/>
  </r>
  <r>
    <x v="3"/>
    <n v="20"/>
  </r>
  <r>
    <x v="3"/>
    <n v="0"/>
  </r>
  <r>
    <x v="2"/>
    <n v="5"/>
  </r>
  <r>
    <x v="2"/>
    <n v="20"/>
  </r>
  <r>
    <x v="1"/>
    <n v="15"/>
  </r>
  <r>
    <x v="1"/>
    <n v="15"/>
  </r>
  <r>
    <x v="1"/>
    <n v="0"/>
  </r>
  <r>
    <x v="0"/>
    <n v="25"/>
  </r>
  <r>
    <x v="2"/>
    <n v="10"/>
  </r>
  <r>
    <x v="0"/>
    <n v="20"/>
  </r>
  <r>
    <x v="2"/>
    <n v="25"/>
  </r>
  <r>
    <x v="1"/>
    <n v="0"/>
  </r>
  <r>
    <x v="1"/>
    <n v="15"/>
  </r>
  <r>
    <x v="0"/>
    <n v="0"/>
  </r>
  <r>
    <x v="2"/>
    <n v="5"/>
  </r>
  <r>
    <x v="1"/>
    <n v="5"/>
  </r>
  <r>
    <x v="0"/>
    <n v="10"/>
  </r>
  <r>
    <x v="1"/>
    <n v="20"/>
  </r>
  <r>
    <x v="0"/>
    <n v="0"/>
  </r>
  <r>
    <x v="1"/>
    <n v="5"/>
  </r>
  <r>
    <x v="3"/>
    <n v="10"/>
  </r>
  <r>
    <x v="2"/>
    <n v="10"/>
  </r>
  <r>
    <x v="1"/>
    <n v="20"/>
  </r>
  <r>
    <x v="2"/>
    <n v="15"/>
  </r>
  <r>
    <x v="3"/>
    <n v="0"/>
  </r>
  <r>
    <x v="3"/>
    <n v="0"/>
  </r>
  <r>
    <x v="1"/>
    <n v="5"/>
  </r>
  <r>
    <x v="2"/>
    <n v="10"/>
  </r>
  <r>
    <x v="0"/>
    <n v="5"/>
  </r>
  <r>
    <x v="3"/>
    <n v="0"/>
  </r>
  <r>
    <x v="1"/>
    <n v="10"/>
  </r>
  <r>
    <x v="1"/>
    <n v="0"/>
  </r>
  <r>
    <x v="3"/>
    <n v="0"/>
  </r>
  <r>
    <x v="0"/>
    <n v="20"/>
  </r>
  <r>
    <x v="0"/>
    <n v="5"/>
  </r>
  <r>
    <x v="1"/>
    <n v="0"/>
  </r>
  <r>
    <x v="2"/>
    <n v="20"/>
  </r>
  <r>
    <x v="0"/>
    <n v="0"/>
  </r>
  <r>
    <x v="3"/>
    <n v="15"/>
  </r>
  <r>
    <x v="3"/>
    <n v="5"/>
  </r>
  <r>
    <x v="1"/>
    <n v="0"/>
  </r>
  <r>
    <x v="1"/>
    <n v="20"/>
  </r>
  <r>
    <x v="1"/>
    <n v="0"/>
  </r>
  <r>
    <x v="3"/>
    <n v="25"/>
  </r>
  <r>
    <x v="1"/>
    <n v="10"/>
  </r>
  <r>
    <x v="1"/>
    <n v="0"/>
  </r>
  <r>
    <x v="2"/>
    <n v="10"/>
  </r>
  <r>
    <x v="3"/>
    <n v="25"/>
  </r>
  <r>
    <x v="3"/>
    <n v="20"/>
  </r>
  <r>
    <x v="2"/>
    <n v="15"/>
  </r>
  <r>
    <x v="1"/>
    <n v="0"/>
  </r>
  <r>
    <x v="3"/>
    <n v="0"/>
  </r>
  <r>
    <x v="2"/>
    <n v="5"/>
  </r>
  <r>
    <x v="2"/>
    <n v="0"/>
  </r>
  <r>
    <x v="0"/>
    <n v="0"/>
  </r>
  <r>
    <x v="3"/>
    <n v="5"/>
  </r>
  <r>
    <x v="3"/>
    <n v="0"/>
  </r>
  <r>
    <x v="0"/>
    <n v="5"/>
  </r>
  <r>
    <x v="3"/>
    <n v="25"/>
  </r>
  <r>
    <x v="0"/>
    <n v="5"/>
  </r>
  <r>
    <x v="3"/>
    <n v="10"/>
  </r>
  <r>
    <x v="0"/>
    <n v="20"/>
  </r>
  <r>
    <x v="0"/>
    <n v="10"/>
  </r>
  <r>
    <x v="1"/>
    <n v="5"/>
  </r>
  <r>
    <x v="3"/>
    <n v="5"/>
  </r>
  <r>
    <x v="2"/>
    <n v="10"/>
  </r>
  <r>
    <x v="2"/>
    <n v="0"/>
  </r>
  <r>
    <x v="2"/>
    <n v="10"/>
  </r>
  <r>
    <x v="3"/>
    <n v="20"/>
  </r>
  <r>
    <x v="2"/>
    <n v="10"/>
  </r>
  <r>
    <x v="2"/>
    <n v="0"/>
  </r>
  <r>
    <x v="1"/>
    <n v="0"/>
  </r>
  <r>
    <x v="2"/>
    <n v="15"/>
  </r>
  <r>
    <x v="1"/>
    <n v="15"/>
  </r>
  <r>
    <x v="2"/>
    <n v="25"/>
  </r>
  <r>
    <x v="1"/>
    <n v="5"/>
  </r>
  <r>
    <x v="1"/>
    <n v="0"/>
  </r>
  <r>
    <x v="2"/>
    <n v="10"/>
  </r>
  <r>
    <x v="1"/>
    <n v="0"/>
  </r>
  <r>
    <x v="2"/>
    <n v="20"/>
  </r>
  <r>
    <x v="0"/>
    <n v="15"/>
  </r>
  <r>
    <x v="2"/>
    <n v="5"/>
  </r>
  <r>
    <x v="2"/>
    <n v="0"/>
  </r>
  <r>
    <x v="0"/>
    <n v="15"/>
  </r>
  <r>
    <x v="0"/>
    <n v="0"/>
  </r>
  <r>
    <x v="3"/>
    <n v="10"/>
  </r>
  <r>
    <x v="1"/>
    <n v="0"/>
  </r>
  <r>
    <x v="2"/>
    <n v="0"/>
  </r>
  <r>
    <x v="0"/>
    <n v="15"/>
  </r>
  <r>
    <x v="0"/>
    <n v="0"/>
  </r>
  <r>
    <x v="0"/>
    <n v="20"/>
  </r>
  <r>
    <x v="0"/>
    <n v="25"/>
  </r>
  <r>
    <x v="2"/>
    <n v="20"/>
  </r>
  <r>
    <x v="0"/>
    <n v="5"/>
  </r>
  <r>
    <x v="2"/>
    <n v="25"/>
  </r>
  <r>
    <x v="3"/>
    <n v="5"/>
  </r>
  <r>
    <x v="3"/>
    <n v="20"/>
  </r>
  <r>
    <x v="1"/>
    <n v="10"/>
  </r>
  <r>
    <x v="2"/>
    <n v="20"/>
  </r>
  <r>
    <x v="3"/>
    <n v="15"/>
  </r>
  <r>
    <x v="3"/>
    <n v="0"/>
  </r>
  <r>
    <x v="3"/>
    <n v="25"/>
  </r>
  <r>
    <x v="2"/>
    <n v="5"/>
  </r>
  <r>
    <x v="1"/>
    <n v="25"/>
  </r>
  <r>
    <x v="2"/>
    <n v="25"/>
  </r>
  <r>
    <x v="1"/>
    <n v="15"/>
  </r>
  <r>
    <x v="0"/>
    <n v="0"/>
  </r>
  <r>
    <x v="1"/>
    <n v="15"/>
  </r>
  <r>
    <x v="2"/>
    <n v="0"/>
  </r>
  <r>
    <x v="1"/>
    <n v="5"/>
  </r>
  <r>
    <x v="2"/>
    <n v="25"/>
  </r>
  <r>
    <x v="3"/>
    <n v="15"/>
  </r>
  <r>
    <x v="1"/>
    <n v="25"/>
  </r>
  <r>
    <x v="2"/>
    <n v="0"/>
  </r>
  <r>
    <x v="3"/>
    <n v="5"/>
  </r>
  <r>
    <x v="1"/>
    <n v="0"/>
  </r>
  <r>
    <x v="1"/>
    <n v="10"/>
  </r>
  <r>
    <x v="2"/>
    <n v="25"/>
  </r>
  <r>
    <x v="2"/>
    <n v="5"/>
  </r>
  <r>
    <x v="3"/>
    <n v="15"/>
  </r>
  <r>
    <x v="2"/>
    <n v="20"/>
  </r>
  <r>
    <x v="1"/>
    <n v="0"/>
  </r>
  <r>
    <x v="2"/>
    <n v="15"/>
  </r>
  <r>
    <x v="3"/>
    <n v="20"/>
  </r>
  <r>
    <x v="1"/>
    <n v="0"/>
  </r>
  <r>
    <x v="0"/>
    <n v="0"/>
  </r>
  <r>
    <x v="2"/>
    <n v="15"/>
  </r>
  <r>
    <x v="0"/>
    <n v="10"/>
  </r>
  <r>
    <x v="3"/>
    <n v="0"/>
  </r>
  <r>
    <x v="1"/>
    <n v="25"/>
  </r>
  <r>
    <x v="0"/>
    <n v="5"/>
  </r>
  <r>
    <x v="0"/>
    <n v="10"/>
  </r>
  <r>
    <x v="2"/>
    <n v="20"/>
  </r>
  <r>
    <x v="2"/>
    <n v="15"/>
  </r>
  <r>
    <x v="2"/>
    <n v="0"/>
  </r>
  <r>
    <x v="1"/>
    <n v="0"/>
  </r>
  <r>
    <x v="0"/>
    <n v="25"/>
  </r>
  <r>
    <x v="0"/>
    <n v="5"/>
  </r>
  <r>
    <x v="2"/>
    <n v="0"/>
  </r>
  <r>
    <x v="3"/>
    <n v="25"/>
  </r>
  <r>
    <x v="3"/>
    <n v="15"/>
  </r>
  <r>
    <x v="3"/>
    <n v="0"/>
  </r>
  <r>
    <x v="1"/>
    <n v="25"/>
  </r>
  <r>
    <x v="0"/>
    <n v="20"/>
  </r>
  <r>
    <x v="3"/>
    <n v="25"/>
  </r>
  <r>
    <x v="2"/>
    <n v="0"/>
  </r>
  <r>
    <x v="1"/>
    <n v="10"/>
  </r>
  <r>
    <x v="0"/>
    <n v="0"/>
  </r>
  <r>
    <x v="2"/>
    <n v="0"/>
  </r>
  <r>
    <x v="3"/>
    <n v="15"/>
  </r>
  <r>
    <x v="1"/>
    <n v="25"/>
  </r>
  <r>
    <x v="3"/>
    <n v="0"/>
  </r>
  <r>
    <x v="1"/>
    <n v="0"/>
  </r>
  <r>
    <x v="2"/>
    <n v="20"/>
  </r>
  <r>
    <x v="0"/>
    <n v="0"/>
  </r>
  <r>
    <x v="2"/>
    <n v="0"/>
  </r>
  <r>
    <x v="2"/>
    <n v="0"/>
  </r>
  <r>
    <x v="2"/>
    <n v="20"/>
  </r>
  <r>
    <x v="0"/>
    <n v="5"/>
  </r>
  <r>
    <x v="1"/>
    <n v="0"/>
  </r>
  <r>
    <x v="2"/>
    <n v="20"/>
  </r>
  <r>
    <x v="2"/>
    <n v="25"/>
  </r>
  <r>
    <x v="3"/>
    <n v="0"/>
  </r>
  <r>
    <x v="1"/>
    <n v="0"/>
  </r>
  <r>
    <x v="1"/>
    <n v="10"/>
  </r>
  <r>
    <x v="2"/>
    <n v="25"/>
  </r>
  <r>
    <x v="0"/>
    <n v="25"/>
  </r>
  <r>
    <x v="0"/>
    <n v="10"/>
  </r>
  <r>
    <x v="0"/>
    <n v="5"/>
  </r>
  <r>
    <x v="0"/>
    <n v="0"/>
  </r>
  <r>
    <x v="3"/>
    <n v="10"/>
  </r>
  <r>
    <x v="0"/>
    <n v="0"/>
  </r>
  <r>
    <x v="1"/>
    <n v="10"/>
  </r>
  <r>
    <x v="0"/>
    <n v="10"/>
  </r>
  <r>
    <x v="0"/>
    <n v="15"/>
  </r>
  <r>
    <x v="3"/>
    <n v="10"/>
  </r>
  <r>
    <x v="0"/>
    <n v="20"/>
  </r>
  <r>
    <x v="2"/>
    <n v="20"/>
  </r>
  <r>
    <x v="2"/>
    <n v="25"/>
  </r>
  <r>
    <x v="3"/>
    <n v="0"/>
  </r>
  <r>
    <x v="3"/>
    <n v="0"/>
  </r>
  <r>
    <x v="1"/>
    <n v="15"/>
  </r>
  <r>
    <x v="0"/>
    <n v="5"/>
  </r>
  <r>
    <x v="2"/>
    <n v="25"/>
  </r>
  <r>
    <x v="0"/>
    <n v="20"/>
  </r>
  <r>
    <x v="0"/>
    <n v="0"/>
  </r>
  <r>
    <x v="0"/>
    <n v="0"/>
  </r>
  <r>
    <x v="3"/>
    <n v="5"/>
  </r>
  <r>
    <x v="1"/>
    <n v="0"/>
  </r>
  <r>
    <x v="3"/>
    <n v="10"/>
  </r>
  <r>
    <x v="1"/>
    <n v="25"/>
  </r>
  <r>
    <x v="1"/>
    <n v="5"/>
  </r>
  <r>
    <x v="1"/>
    <n v="15"/>
  </r>
  <r>
    <x v="1"/>
    <n v="10"/>
  </r>
  <r>
    <x v="2"/>
    <n v="0"/>
  </r>
  <r>
    <x v="1"/>
    <n v="0"/>
  </r>
  <r>
    <x v="2"/>
    <n v="0"/>
  </r>
  <r>
    <x v="0"/>
    <n v="15"/>
  </r>
  <r>
    <x v="0"/>
    <n v="15"/>
  </r>
  <r>
    <x v="3"/>
    <n v="0"/>
  </r>
  <r>
    <x v="0"/>
    <n v="20"/>
  </r>
  <r>
    <x v="0"/>
    <n v="15"/>
  </r>
  <r>
    <x v="2"/>
    <n v="0"/>
  </r>
  <r>
    <x v="1"/>
    <n v="20"/>
  </r>
  <r>
    <x v="3"/>
    <n v="15"/>
  </r>
  <r>
    <x v="3"/>
    <n v="0"/>
  </r>
  <r>
    <x v="0"/>
    <n v="0"/>
  </r>
  <r>
    <x v="3"/>
    <n v="20"/>
  </r>
  <r>
    <x v="0"/>
    <n v="0"/>
  </r>
  <r>
    <x v="3"/>
    <n v="25"/>
  </r>
  <r>
    <x v="3"/>
    <n v="25"/>
  </r>
  <r>
    <x v="2"/>
    <n v="5"/>
  </r>
  <r>
    <x v="0"/>
    <n v="5"/>
  </r>
  <r>
    <x v="1"/>
    <n v="5"/>
  </r>
  <r>
    <x v="1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D001"/>
    <s v="Ceylon Express"/>
    <s v="Electronics"/>
    <x v="0"/>
    <s v="Sajith Fernando"/>
    <s v="Jaffna Hub"/>
    <s v="Galle Shop_76"/>
    <n v="220.3"/>
    <s v="2025-10-14 21:42"/>
    <s v="2025-10-14 22:48"/>
    <n v="25.27"/>
    <n v="66"/>
    <n v="46"/>
    <s v="Clear"/>
    <n v="5"/>
    <s v="Delayed"/>
    <n v="6999.79"/>
  </r>
  <r>
    <s v="D002"/>
    <s v="Island Movers"/>
    <s v="Furniture"/>
    <x v="1"/>
    <s v="Kavindu Ranasinghe"/>
    <s v="Galle Depot"/>
    <s v="Kandy Shop_49"/>
    <n v="102"/>
    <s v="2025-10-13 16:51"/>
    <s v="2025-10-13 17:47"/>
    <n v="13.68"/>
    <n v="56"/>
    <n v="57"/>
    <s v="Rain"/>
    <n v="20"/>
    <s v="Delayed"/>
    <n v="3789.36"/>
  </r>
  <r>
    <s v="D003"/>
    <s v="FastDrop Lanka"/>
    <s v="Electronics"/>
    <x v="2"/>
    <s v="Supun Senanayake"/>
    <s v="Kandy Hub"/>
    <s v="Galle Shop_65"/>
    <n v="81.7"/>
    <s v="2025-10-02 13:59"/>
    <s v="2025-10-02 15:44"/>
    <n v="9.8000000000000007"/>
    <n v="105"/>
    <n v="46.7"/>
    <s v="Rain"/>
    <n v="15"/>
    <s v="Delayed"/>
    <n v="2714.6000000000004"/>
  </r>
  <r>
    <s v="D004"/>
    <s v="QuickLink Couriers"/>
    <s v="Clothing"/>
    <x v="0"/>
    <s v="Sandun Rajapaksha"/>
    <s v="Kurunegala Center"/>
    <s v="Trincomalee Shop_40"/>
    <n v="30.3"/>
    <s v="2025-10-15 13:57"/>
    <s v="2025-10-15 17:31"/>
    <n v="4.83"/>
    <n v="214"/>
    <n v="8.5"/>
    <s v="Rain"/>
    <n v="5"/>
    <s v="Delayed"/>
    <n v="1337.91"/>
  </r>
  <r>
    <s v="D005"/>
    <s v="Ceylon Express"/>
    <s v="Electronics"/>
    <x v="3"/>
    <s v="Lakshan Dissanayake"/>
    <s v="Jaffna Hub"/>
    <s v="Rathnapura Shop_15"/>
    <n v="93"/>
    <s v="2025-10-09 15:16"/>
    <s v="2025-10-09 18:01"/>
    <n v="13.16"/>
    <n v="165"/>
    <n v="33.799999999999997"/>
    <s v="Cloudy"/>
    <n v="15"/>
    <s v="Delayed"/>
    <n v="3645.32"/>
  </r>
  <r>
    <s v="D006"/>
    <s v="SpeedGo Delivery"/>
    <s v="Clothing"/>
    <x v="2"/>
    <s v="Nuwan Jayasinghe"/>
    <s v="Colombo Warehouse"/>
    <s v="Negombo Shop_53"/>
    <n v="19.100000000000001"/>
    <s v="2025-10-08 11:04"/>
    <s v="2025-10-08 14:15"/>
    <n v="3.17"/>
    <n v="191"/>
    <n v="6"/>
    <s v="Clear"/>
    <n v="10"/>
    <s v="Delayed"/>
    <n v="878.09"/>
  </r>
  <r>
    <s v="D007"/>
    <s v="FastDrop Lanka"/>
    <s v="Furniture"/>
    <x v="0"/>
    <s v="Nuwan Jayasinghe"/>
    <s v="Kandy Hub"/>
    <s v="Badulla Shop_19"/>
    <n v="229"/>
    <s v="2025-10-12 04:24"/>
    <s v="2025-10-12 07:53"/>
    <n v="31.9"/>
    <n v="209"/>
    <n v="65.7"/>
    <s v="Clear"/>
    <n v="15"/>
    <s v="Delayed"/>
    <n v="8836.2999999999993"/>
  </r>
  <r>
    <s v="D008"/>
    <s v="SpeedGo Delivery"/>
    <s v="Clothing"/>
    <x v="4"/>
    <s v="Kasun Perera"/>
    <s v="Jaffna Hub"/>
    <s v="Colombo Shop_55"/>
    <n v="90"/>
    <s v="2025-10-16 07:42"/>
    <s v="2025-10-16 11:38"/>
    <n v="11.77"/>
    <n v="236"/>
    <n v="22.9"/>
    <s v="Clear"/>
    <n v="0"/>
    <s v="On Time"/>
    <n v="3260.29"/>
  </r>
  <r>
    <s v="D009"/>
    <s v="Ceylon Express"/>
    <s v="Furniture"/>
    <x v="3"/>
    <s v="Chathura Weerasinghe"/>
    <s v="Anuradhapura Depot"/>
    <s v="Kandy Shop_28"/>
    <n v="145.30000000000001"/>
    <s v="2025-10-12 19:13"/>
    <s v="2025-10-12 22:17"/>
    <n v="19.68"/>
    <n v="184"/>
    <n v="47.4"/>
    <s v="Rain"/>
    <n v="10"/>
    <s v="Delayed"/>
    <n v="5451.36"/>
  </r>
  <r>
    <s v="D010"/>
    <s v="Island Movers"/>
    <s v="Clothing"/>
    <x v="4"/>
    <s v="Ruwan Bandara"/>
    <s v="Anuradhapura Depot"/>
    <s v="Galle Shop_18"/>
    <n v="227.3"/>
    <s v="2025-10-14 09:06"/>
    <s v="2025-10-14 12:08"/>
    <n v="29.57"/>
    <n v="182"/>
    <n v="74.900000000000006"/>
    <s v="Windy"/>
    <n v="25"/>
    <s v="Delayed"/>
    <n v="8190.89"/>
  </r>
  <r>
    <s v="D011"/>
    <s v="SpeedGo Delivery"/>
    <s v="Clothing"/>
    <x v="0"/>
    <s v="Supun Senanayake"/>
    <s v="Anuradhapura Depot"/>
    <s v="Rathnapura Shop_47"/>
    <n v="61.4"/>
    <s v="2025-10-05 01:24"/>
    <s v="2025-10-05 03:51"/>
    <n v="7.16"/>
    <n v="147"/>
    <n v="25.1"/>
    <s v="Windy"/>
    <n v="0"/>
    <s v="On Time"/>
    <n v="1983.32"/>
  </r>
  <r>
    <s v="D012"/>
    <s v="Island Movers"/>
    <s v="Furniture"/>
    <x v="2"/>
    <s v="Amal Kumara"/>
    <s v="Matara Warehouse"/>
    <s v="Negombo Shop_68"/>
    <n v="119"/>
    <s v="2025-10-01 21:47"/>
    <s v="2025-10-01 23:43"/>
    <n v="15.54"/>
    <n v="116"/>
    <n v="61.6"/>
    <s v="Rain"/>
    <n v="20"/>
    <s v="Delayed"/>
    <n v="4304.58"/>
  </r>
  <r>
    <s v="D013"/>
    <s v="Lanka Logistics"/>
    <s v="Furniture"/>
    <x v="2"/>
    <s v="Dineth Madushan"/>
    <s v="Kandy Hub"/>
    <s v="Colombo Shop_13"/>
    <n v="145.5"/>
    <s v="2025-10-09 22:01"/>
    <s v="2025-10-10 00:28"/>
    <n v="19.329999999999998"/>
    <n v="147"/>
    <n v="59.4"/>
    <s v="Cloudy"/>
    <n v="10"/>
    <s v="Delayed"/>
    <n v="5354.41"/>
  </r>
  <r>
    <s v="D014"/>
    <s v="Island Movers"/>
    <s v="Clothing"/>
    <x v="5"/>
    <s v="Chathura Weerasinghe"/>
    <s v="Kurunegala Center"/>
    <s v="Rathnapura Shop_23"/>
    <n v="28.6"/>
    <s v="2025-10-01 13:39"/>
    <s v="2025-10-01 15:01"/>
    <n v="3.72"/>
    <n v="82"/>
    <n v="20.9"/>
    <s v="Clear"/>
    <n v="20"/>
    <s v="Delayed"/>
    <n v="1030.44"/>
  </r>
  <r>
    <s v="D015"/>
    <s v="Island Movers"/>
    <s v="Clothing"/>
    <x v="0"/>
    <s v="Sandun Rajapaksha"/>
    <s v="Colombo Warehouse"/>
    <s v="Badulla Shop_43"/>
    <n v="107.4"/>
    <s v="2025-10-11 02:00"/>
    <s v="2025-10-11 04:17"/>
    <n v="14.26"/>
    <n v="137"/>
    <n v="47"/>
    <s v="Cloudy"/>
    <n v="20"/>
    <s v="Delayed"/>
    <n v="3950.02"/>
  </r>
  <r>
    <s v="D016"/>
    <s v="Ceylon Express"/>
    <s v="Clothing"/>
    <x v="5"/>
    <s v="Isuru De Silva"/>
    <s v="Galle Depot"/>
    <s v="Negombo Shop_64"/>
    <n v="201.6"/>
    <s v="2025-10-09 02:49"/>
    <s v="2025-10-09 06:02"/>
    <n v="23.17"/>
    <n v="193"/>
    <n v="62.7"/>
    <s v="Windy"/>
    <n v="0"/>
    <s v="On Time"/>
    <n v="6418.09"/>
  </r>
  <r>
    <s v="D017"/>
    <s v="Island Movers"/>
    <s v="Electronics"/>
    <x v="2"/>
    <s v="Dineth Madushan"/>
    <s v="Colombo Warehouse"/>
    <s v="Negombo Shop_1"/>
    <n v="143"/>
    <s v="2025-10-17 12:33"/>
    <s v="2025-10-17 13:24"/>
    <n v="18.05"/>
    <n v="51"/>
    <n v="93"/>
    <s v="Cloudy"/>
    <n v="25"/>
    <s v="Delayed"/>
    <n v="4999.8500000000004"/>
  </r>
  <r>
    <s v="D018"/>
    <s v="SpeedGo Delivery"/>
    <s v="Clothing"/>
    <x v="4"/>
    <s v="Amal Kumara"/>
    <s v="Kurunegala Center"/>
    <s v="Jaffna Shop_79"/>
    <n v="130.1"/>
    <s v="2025-10-05 21:30"/>
    <s v="2025-10-06 00:09"/>
    <n v="21.39"/>
    <n v="159"/>
    <n v="49.1"/>
    <s v="Cloudy"/>
    <n v="20"/>
    <s v="Delayed"/>
    <n v="5925.03"/>
  </r>
  <r>
    <s v="D019"/>
    <s v="FastDrop Lanka"/>
    <s v="Food"/>
    <x v="5"/>
    <s v="Dineth Madushan"/>
    <s v="Jaffna Hub"/>
    <s v="Matara Shop_64"/>
    <n v="237.1"/>
    <s v="2025-10-18 18:45"/>
    <s v="2025-10-18 21:35"/>
    <n v="36.630000000000003"/>
    <n v="170"/>
    <n v="83.7"/>
    <s v="Cloudy"/>
    <n v="15"/>
    <s v="Delayed"/>
    <n v="10146.51"/>
  </r>
  <r>
    <s v="D020"/>
    <s v="Ceylon Express"/>
    <s v="Furniture"/>
    <x v="0"/>
    <s v="Amal Kumara"/>
    <s v="Anuradhapura Depot"/>
    <s v="Kandy Shop_16"/>
    <n v="21.8"/>
    <s v="2025-10-07 16:35"/>
    <s v="2025-10-07 18:00"/>
    <n v="2.77"/>
    <n v="85"/>
    <n v="15.4"/>
    <s v="Clear"/>
    <n v="20"/>
    <s v="Delayed"/>
    <n v="767.29"/>
  </r>
  <r>
    <s v="D021"/>
    <s v="Lanka Logistics"/>
    <s v="Clothing"/>
    <x v="6"/>
    <s v="Kavindu Ranasinghe"/>
    <s v="Matara Warehouse"/>
    <s v="Kurunegala Shop_64"/>
    <n v="92.9"/>
    <s v="2025-10-18 18:19"/>
    <s v="2025-10-18 20:24"/>
    <n v="12.31"/>
    <n v="125"/>
    <n v="44.6"/>
    <s v="Clear"/>
    <n v="10"/>
    <s v="Delayed"/>
    <n v="3409.8700000000003"/>
  </r>
  <r>
    <s v="D022"/>
    <s v="Ceylon Express"/>
    <s v="Electronics"/>
    <x v="1"/>
    <s v="Supun Senanayake"/>
    <s v="Anuradhapura Depot"/>
    <s v="Colombo Shop_23"/>
    <n v="148.69999999999999"/>
    <s v="2025-10-03 05:13"/>
    <s v="2025-10-03 07:32"/>
    <n v="16.61"/>
    <n v="139"/>
    <n v="64.2"/>
    <s v="Clear"/>
    <n v="25"/>
    <s v="Delayed"/>
    <n v="4600.97"/>
  </r>
  <r>
    <s v="D023"/>
    <s v="FastDrop Lanka"/>
    <s v="Electronics"/>
    <x v="6"/>
    <s v="Supun Senanayake"/>
    <s v="Galle Depot"/>
    <s v="Trincomalee Shop_30"/>
    <n v="138.30000000000001"/>
    <s v="2025-10-06 23:23"/>
    <s v="2025-10-07 00:55"/>
    <n v="16.86"/>
    <n v="92"/>
    <n v="90.2"/>
    <s v="Clear"/>
    <n v="20"/>
    <s v="Delayed"/>
    <n v="4670.22"/>
  </r>
  <r>
    <s v="D024"/>
    <s v="QuickLink Couriers"/>
    <s v="Furniture"/>
    <x v="6"/>
    <s v="Kasun Perera"/>
    <s v="Colombo Warehouse"/>
    <s v="Badulla Shop_70"/>
    <n v="159"/>
    <s v="2025-10-03 00:07"/>
    <s v="2025-10-03 01:17"/>
    <n v="21.86"/>
    <n v="70"/>
    <n v="52"/>
    <s v="Windy"/>
    <n v="15"/>
    <s v="Delayed"/>
    <n v="6055.22"/>
  </r>
  <r>
    <s v="D025"/>
    <s v="Island Movers"/>
    <s v="Electronics"/>
    <x v="4"/>
    <s v="Ravindu Wickramasinghe"/>
    <s v="Matara Warehouse"/>
    <s v="Negombo Shop_58"/>
    <n v="87.3"/>
    <s v="2025-10-03 13:54"/>
    <s v="2025-10-03 17:21"/>
    <n v="10.029999999999999"/>
    <n v="207"/>
    <n v="25.3"/>
    <s v="Cloudy"/>
    <n v="10"/>
    <s v="Delayed"/>
    <n v="2778.31"/>
  </r>
  <r>
    <s v="D026"/>
    <s v="Island Movers"/>
    <s v="Furniture"/>
    <x v="4"/>
    <s v="Lakshan Dissanayake"/>
    <s v="Anuradhapura Depot"/>
    <s v="Trincomalee Shop_8"/>
    <n v="242.4"/>
    <s v="2025-10-13 22:33"/>
    <s v="2025-10-14 01:50"/>
    <n v="38.44"/>
    <n v="197"/>
    <n v="73.8"/>
    <s v="Clear"/>
    <n v="5"/>
    <s v="Delayed"/>
    <n v="10647.88"/>
  </r>
  <r>
    <s v="D027"/>
    <s v="FastDrop Lanka"/>
    <s v="Furniture"/>
    <x v="2"/>
    <s v="Chathura Weerasinghe"/>
    <s v="Galle Depot"/>
    <s v="Rathnapura Shop_52"/>
    <n v="15.6"/>
    <s v="2025-10-07 11:16"/>
    <s v="2025-10-07 12:12"/>
    <n v="2.4700000000000002"/>
    <n v="56"/>
    <n v="16.7"/>
    <s v="Cloudy"/>
    <n v="15"/>
    <s v="Delayed"/>
    <n v="684.19"/>
  </r>
  <r>
    <s v="D028"/>
    <s v="Ceylon Express"/>
    <s v="Food"/>
    <x v="3"/>
    <s v="Supun Senanayake"/>
    <s v="Kandy Hub"/>
    <s v="Rathnapura Shop_24"/>
    <n v="234.6"/>
    <s v="2025-10-16 08:54"/>
    <s v="2025-10-16 10:43"/>
    <n v="38.76"/>
    <n v="109"/>
    <n v="66"/>
    <s v="Rain"/>
    <n v="20"/>
    <s v="Delayed"/>
    <n v="10736.519999999999"/>
  </r>
  <r>
    <s v="D029"/>
    <s v="FastDrop Lanka"/>
    <s v="Electronics"/>
    <x v="2"/>
    <s v="Kasun Perera"/>
    <s v="Colombo Warehouse"/>
    <s v="Badulla Shop_71"/>
    <n v="36.799999999999997"/>
    <s v="2025-10-15 02:49"/>
    <s v="2025-10-15 04:16"/>
    <n v="4.22"/>
    <n v="87"/>
    <n v="25.4"/>
    <s v="Rain"/>
    <n v="15"/>
    <s v="Delayed"/>
    <n v="1168.9399999999998"/>
  </r>
  <r>
    <s v="D030"/>
    <s v="Island Movers"/>
    <s v="Furniture"/>
    <x v="5"/>
    <s v="Sandun Rajapaksha"/>
    <s v="Galle Depot"/>
    <s v="Kurunegala Shop_82"/>
    <n v="93.8"/>
    <s v="2025-10-02 07:05"/>
    <s v="2025-10-02 11:04"/>
    <n v="13.16"/>
    <n v="239"/>
    <n v="23.5"/>
    <s v="Cloudy"/>
    <n v="25"/>
    <s v="Delayed"/>
    <n v="3645.32"/>
  </r>
  <r>
    <s v="D031"/>
    <s v="SpeedGo Delivery"/>
    <s v="Furniture"/>
    <x v="0"/>
    <s v="Kasun Perera"/>
    <s v="Galle Depot"/>
    <s v="Badulla Shop_70"/>
    <n v="33.299999999999997"/>
    <s v="2025-10-03 14:05"/>
    <s v="2025-10-03 15:13"/>
    <n v="4.84"/>
    <n v="68"/>
    <n v="29.4"/>
    <s v="Rain"/>
    <n v="10"/>
    <s v="Delayed"/>
    <n v="1340.68"/>
  </r>
  <r>
    <s v="D032"/>
    <s v="QuickLink Couriers"/>
    <s v="Electronics"/>
    <x v="3"/>
    <s v="Sajith Fernando"/>
    <s v="Colombo Warehouse"/>
    <s v="Matara Shop_48"/>
    <n v="209.4"/>
    <s v="2025-10-04 03:02"/>
    <s v="2025-10-04 05:00"/>
    <n v="26.63"/>
    <n v="118"/>
    <n v="81"/>
    <s v="Rain"/>
    <n v="20"/>
    <s v="Delayed"/>
    <n v="7376.5099999999993"/>
  </r>
  <r>
    <s v="D033"/>
    <s v="Lanka Logistics"/>
    <s v="Clothing"/>
    <x v="6"/>
    <s v="Sajith Fernando"/>
    <s v="Kandy Hub"/>
    <s v="Colombo Shop_34"/>
    <n v="124"/>
    <s v="2025-10-02 00:18"/>
    <s v="2025-10-02 02:54"/>
    <n v="18.68"/>
    <n v="156"/>
    <n v="47.7"/>
    <s v="Cloudy"/>
    <n v="25"/>
    <s v="Delayed"/>
    <n v="5174.3599999999997"/>
  </r>
  <r>
    <s v="D034"/>
    <s v="Island Movers"/>
    <s v="Food"/>
    <x v="2"/>
    <s v="Ravindu Wickramasinghe"/>
    <s v="Kandy Hub"/>
    <s v="Kurunegala Shop_18"/>
    <n v="119.3"/>
    <s v="2025-10-16 05:55"/>
    <s v="2025-10-16 07:19"/>
    <n v="18.809999999999999"/>
    <n v="84"/>
    <n v="85.2"/>
    <s v="Windy"/>
    <n v="0"/>
    <s v="On Time"/>
    <n v="5210.37"/>
  </r>
  <r>
    <s v="D035"/>
    <s v="FastDrop Lanka"/>
    <s v="Furniture"/>
    <x v="1"/>
    <s v="Dineth Madushan"/>
    <s v="Kurunegala Center"/>
    <s v="Negombo Shop_12"/>
    <n v="88.1"/>
    <s v="2025-10-20 00:24"/>
    <s v="2025-10-20 03:21"/>
    <n v="10.53"/>
    <n v="177"/>
    <n v="29.9"/>
    <s v="Cloudy"/>
    <n v="10"/>
    <s v="Delayed"/>
    <n v="2916.81"/>
  </r>
  <r>
    <s v="D036"/>
    <s v="Island Movers"/>
    <s v="Clothing"/>
    <x v="4"/>
    <s v="Dineth Madushan"/>
    <s v="Anuradhapura Depot"/>
    <s v="Matara Shop_87"/>
    <n v="186"/>
    <s v="2025-10-17 09:34"/>
    <s v="2025-10-17 10:46"/>
    <n v="27.6"/>
    <n v="72"/>
    <n v="86"/>
    <s v="Clear"/>
    <n v="10"/>
    <s v="Delayed"/>
    <n v="7645.2000000000007"/>
  </r>
  <r>
    <s v="D037"/>
    <s v="Ceylon Express"/>
    <s v="Electronics"/>
    <x v="1"/>
    <s v="Sajith Fernando"/>
    <s v="Jaffna Hub"/>
    <s v="Kurunegala Shop_66"/>
    <n v="84.6"/>
    <s v="2025-10-20 21:24"/>
    <s v="2025-10-20 23:12"/>
    <n v="11.19"/>
    <n v="108"/>
    <n v="47"/>
    <s v="Clear"/>
    <n v="5"/>
    <s v="Delayed"/>
    <n v="3099.6299999999997"/>
  </r>
  <r>
    <s v="D038"/>
    <s v="QuickLink Couriers"/>
    <s v="Furniture"/>
    <x v="5"/>
    <s v="Amal Kumara"/>
    <s v="Galle Depot"/>
    <s v="Jaffna Shop_48"/>
    <n v="194"/>
    <s v="2025-10-15 06:15"/>
    <s v="2025-10-15 08:13"/>
    <n v="25.22"/>
    <n v="118"/>
    <n v="98.6"/>
    <s v="Cloudy"/>
    <n v="0"/>
    <s v="On Time"/>
    <n v="6985.94"/>
  </r>
  <r>
    <s v="D039"/>
    <s v="QuickLink Couriers"/>
    <s v="Furniture"/>
    <x v="4"/>
    <s v="Amal Kumara"/>
    <s v="Kandy Hub"/>
    <s v="Colombo Shop_89"/>
    <n v="227.2"/>
    <s v="2025-10-04 19:11"/>
    <s v="2025-10-04 22:48"/>
    <n v="29.31"/>
    <n v="217"/>
    <n v="62.8"/>
    <s v="Windy"/>
    <n v="0"/>
    <s v="On Time"/>
    <n v="8118.87"/>
  </r>
  <r>
    <s v="D040"/>
    <s v="SpeedGo Delivery"/>
    <s v="Furniture"/>
    <x v="3"/>
    <s v="Lakshan Dissanayake"/>
    <s v="Matara Warehouse"/>
    <s v="Galle Shop_62"/>
    <n v="173"/>
    <s v="2025-10-12 23:24"/>
    <s v="2025-10-13 02:05"/>
    <n v="21.66"/>
    <n v="161"/>
    <n v="64.5"/>
    <s v="Cloudy"/>
    <n v="20"/>
    <s v="Delayed"/>
    <n v="5999.82"/>
  </r>
  <r>
    <s v="D041"/>
    <s v="QuickLink Couriers"/>
    <s v="Clothing"/>
    <x v="4"/>
    <s v="Ruwan Bandara"/>
    <s v="Jaffna Hub"/>
    <s v="Colombo Shop_45"/>
    <n v="25.7"/>
    <s v="2025-10-18 03:09"/>
    <s v="2025-10-18 06:45"/>
    <n v="2.95"/>
    <n v="216"/>
    <n v="7.1"/>
    <s v="Windy"/>
    <n v="0"/>
    <s v="On Time"/>
    <n v="817.15000000000009"/>
  </r>
  <r>
    <s v="D042"/>
    <s v="SpeedGo Delivery"/>
    <s v="Electronics"/>
    <x v="4"/>
    <s v="Ravindu Wickramasinghe"/>
    <s v="Anuradhapura Depot"/>
    <s v="Jaffna Shop_21"/>
    <n v="144.4"/>
    <s v="2025-10-10 16:49"/>
    <s v="2025-10-10 20:01"/>
    <n v="20.48"/>
    <n v="192"/>
    <n v="45.1"/>
    <s v="Clear"/>
    <n v="5"/>
    <s v="Delayed"/>
    <n v="5672.96"/>
  </r>
  <r>
    <s v="D043"/>
    <s v="FastDrop Lanka"/>
    <s v="Food"/>
    <x v="0"/>
    <s v="Dineth Madushan"/>
    <s v="Anuradhapura Depot"/>
    <s v="Trincomalee Shop_91"/>
    <n v="223.8"/>
    <s v="2025-10-06 10:54"/>
    <s v="2025-10-06 11:53"/>
    <n v="27.85"/>
    <n v="59"/>
    <n v="87"/>
    <s v="Cloudy"/>
    <n v="0"/>
    <s v="On Time"/>
    <n v="7714.4500000000007"/>
  </r>
  <r>
    <s v="D044"/>
    <s v="QuickLink Couriers"/>
    <s v="Furniture"/>
    <x v="0"/>
    <s v="Amal Kumara"/>
    <s v="Kurunegala Center"/>
    <s v="Matara Shop_31"/>
    <n v="120.9"/>
    <s v="2025-10-19 19:33"/>
    <s v="2025-10-19 22:01"/>
    <n v="14.45"/>
    <n v="148"/>
    <n v="49"/>
    <s v="Windy"/>
    <n v="0"/>
    <s v="On Time"/>
    <n v="4002.6499999999996"/>
  </r>
  <r>
    <s v="D045"/>
    <s v="FastDrop Lanka"/>
    <s v="Food"/>
    <x v="5"/>
    <s v="Dineth Madushan"/>
    <s v="Kurunegala Center"/>
    <s v="Jaffna Shop_43"/>
    <n v="164.1"/>
    <s v="2025-10-05 00:14"/>
    <s v="2025-10-05 01:55"/>
    <n v="18.7"/>
    <n v="101"/>
    <n v="97.5"/>
    <s v="Windy"/>
    <n v="25"/>
    <s v="Delayed"/>
    <n v="5179.8999999999996"/>
  </r>
  <r>
    <s v="D046"/>
    <s v="FastDrop Lanka"/>
    <s v="Food"/>
    <x v="0"/>
    <s v="Tharindu Gunasekara"/>
    <s v="Jaffna Hub"/>
    <s v="Colombo Shop_44"/>
    <n v="142.69999999999999"/>
    <s v="2025-10-09 08:11"/>
    <s v="2025-10-09 09:45"/>
    <n v="23.78"/>
    <n v="94"/>
    <n v="91.1"/>
    <s v="Clear"/>
    <n v="15"/>
    <s v="Delayed"/>
    <n v="6587.06"/>
  </r>
  <r>
    <s v="D047"/>
    <s v="Ceylon Express"/>
    <s v="Furniture"/>
    <x v="1"/>
    <s v="Kavindu Ranasinghe"/>
    <s v="Colombo Warehouse"/>
    <s v="Badulla Shop_4"/>
    <n v="179.2"/>
    <s v="2025-10-09 05:15"/>
    <s v="2025-10-09 07:08"/>
    <n v="22.71"/>
    <n v="113"/>
    <n v="95.2"/>
    <s v="Clear"/>
    <n v="10"/>
    <s v="Delayed"/>
    <n v="6290.67"/>
  </r>
  <r>
    <s v="D048"/>
    <s v="QuickLink Couriers"/>
    <s v="Electronics"/>
    <x v="5"/>
    <s v="Sajith Fernando"/>
    <s v="Matara Warehouse"/>
    <s v="Negombo Shop_74"/>
    <n v="30.7"/>
    <s v="2025-10-19 03:53"/>
    <s v="2025-10-19 07:34"/>
    <n v="3.58"/>
    <n v="221"/>
    <n v="8.3000000000000007"/>
    <s v="Cloudy"/>
    <n v="0"/>
    <s v="On Time"/>
    <n v="991.66"/>
  </r>
  <r>
    <s v="D049"/>
    <s v="FastDrop Lanka"/>
    <s v="Clothing"/>
    <x v="1"/>
    <s v="Kavindu Ranasinghe"/>
    <s v="Kandy Hub"/>
    <s v="Galle Shop_50"/>
    <n v="92.2"/>
    <s v="2025-10-15 19:54"/>
    <s v="2025-10-15 22:57"/>
    <n v="11.65"/>
    <n v="183"/>
    <n v="30.2"/>
    <s v="Clear"/>
    <n v="25"/>
    <s v="Delayed"/>
    <n v="3227.05"/>
  </r>
  <r>
    <s v="D050"/>
    <s v="FastDrop Lanka"/>
    <s v="Furniture"/>
    <x v="0"/>
    <s v="Sandun Rajapaksha"/>
    <s v="Colombo Warehouse"/>
    <s v="Kurunegala Shop_24"/>
    <n v="97.4"/>
    <s v="2025-10-03 06:23"/>
    <s v="2025-10-03 09:17"/>
    <n v="11.8"/>
    <n v="174"/>
    <n v="33.6"/>
    <s v="Windy"/>
    <n v="0"/>
    <s v="On Time"/>
    <n v="3268.6000000000004"/>
  </r>
  <r>
    <s v="D051"/>
    <s v="FastDrop Lanka"/>
    <s v="Food"/>
    <x v="4"/>
    <s v="Supun Senanayake"/>
    <s v="Colombo Warehouse"/>
    <s v="Kurunegala Shop_6"/>
    <n v="93.3"/>
    <s v="2025-10-06 12:07"/>
    <s v="2025-10-06 13:56"/>
    <n v="13.5"/>
    <n v="109"/>
    <n v="51.4"/>
    <s v="Rain"/>
    <n v="10"/>
    <s v="Delayed"/>
    <n v="3739.5"/>
  </r>
  <r>
    <s v="D052"/>
    <s v="Island Movers"/>
    <s v="Electronics"/>
    <x v="6"/>
    <s v="Sandun Rajapaksha"/>
    <s v="Jaffna Hub"/>
    <s v="Matara Shop_53"/>
    <n v="88.4"/>
    <s v="2025-10-16 19:39"/>
    <s v="2025-10-16 21:42"/>
    <n v="10.8"/>
    <n v="123"/>
    <n v="43.1"/>
    <s v="Cloudy"/>
    <n v="25"/>
    <s v="Delayed"/>
    <n v="2991.6000000000004"/>
  </r>
  <r>
    <s v="D053"/>
    <s v="Ceylon Express"/>
    <s v="Food"/>
    <x v="5"/>
    <s v="Ravindu Wickramasinghe"/>
    <s v="Kurunegala Center"/>
    <s v="Badulla Shop_84"/>
    <n v="85.8"/>
    <s v="2025-10-15 07:19"/>
    <s v="2025-10-15 08:32"/>
    <n v="10.88"/>
    <n v="73"/>
    <n v="70.5"/>
    <s v="Rain"/>
    <n v="25"/>
    <s v="Delayed"/>
    <n v="3013.76"/>
  </r>
  <r>
    <s v="D054"/>
    <s v="FastDrop Lanka"/>
    <s v="Clothing"/>
    <x v="5"/>
    <s v="Sajith Fernando"/>
    <s v="Anuradhapura Depot"/>
    <s v="Negombo Shop_2"/>
    <n v="94.6"/>
    <s v="2025-10-07 17:32"/>
    <s v="2025-10-07 20:16"/>
    <n v="14.6"/>
    <n v="164"/>
    <n v="34.6"/>
    <s v="Cloudy"/>
    <n v="5"/>
    <s v="Delayed"/>
    <n v="4044.2"/>
  </r>
  <r>
    <s v="D055"/>
    <s v="Lanka Logistics"/>
    <s v="Electronics"/>
    <x v="3"/>
    <s v="Chathura Weerasinghe"/>
    <s v="Colombo Warehouse"/>
    <s v="Rathnapura Shop_49"/>
    <n v="234.6"/>
    <s v="2025-10-15 10:36"/>
    <s v="2025-10-15 14:28"/>
    <n v="33.380000000000003"/>
    <n v="232"/>
    <n v="60.7"/>
    <s v="Windy"/>
    <n v="20"/>
    <s v="Delayed"/>
    <n v="9246.26"/>
  </r>
  <r>
    <s v="D056"/>
    <s v="QuickLink Couriers"/>
    <s v="Clothing"/>
    <x v="1"/>
    <s v="Sandun Rajapaksha"/>
    <s v="Jaffna Hub"/>
    <s v="Badulla Shop_18"/>
    <n v="153.1"/>
    <s v="2025-10-06 22:18"/>
    <s v="2025-10-07 00:42"/>
    <n v="20.420000000000002"/>
    <n v="144"/>
    <n v="63.8"/>
    <s v="Cloudy"/>
    <n v="25"/>
    <s v="Delayed"/>
    <n v="5656.34"/>
  </r>
  <r>
    <s v="D057"/>
    <s v="SpeedGo Delivery"/>
    <s v="Food"/>
    <x v="3"/>
    <s v="Sandun Rajapaksha"/>
    <s v="Matara Warehouse"/>
    <s v="Kandy Shop_55"/>
    <n v="124.1"/>
    <s v="2025-10-16 23:19"/>
    <s v="2025-10-17 01:54"/>
    <n v="20.309999999999999"/>
    <n v="155"/>
    <n v="48"/>
    <s v="Cloudy"/>
    <n v="10"/>
    <s v="Delayed"/>
    <n v="5625.87"/>
  </r>
  <r>
    <s v="D058"/>
    <s v="SpeedGo Delivery"/>
    <s v="Clothing"/>
    <x v="2"/>
    <s v="Dineth Madushan"/>
    <s v="Anuradhapura Depot"/>
    <s v="Negombo Shop_50"/>
    <n v="42.7"/>
    <s v="2025-10-02 11:15"/>
    <s v="2025-10-02 13:07"/>
    <n v="5.52"/>
    <n v="112"/>
    <n v="22.9"/>
    <s v="Clear"/>
    <n v="5"/>
    <s v="Delayed"/>
    <n v="1529.04"/>
  </r>
  <r>
    <s v="D059"/>
    <s v="Ceylon Express"/>
    <s v="Electronics"/>
    <x v="3"/>
    <s v="Pasindu Herath"/>
    <s v="Colombo Warehouse"/>
    <s v="Matara Shop_100"/>
    <n v="50.7"/>
    <s v="2025-10-03 13:30"/>
    <s v="2025-10-03 14:15"/>
    <n v="7.21"/>
    <n v="45"/>
    <n v="67.599999999999994"/>
    <s v="Windy"/>
    <n v="15"/>
    <s v="Delayed"/>
    <n v="1997.17"/>
  </r>
  <r>
    <s v="D060"/>
    <s v="Lanka Logistics"/>
    <s v="Clothing"/>
    <x v="4"/>
    <s v="Dineth Madushan"/>
    <s v="Galle Depot"/>
    <s v="Rathnapura Shop_14"/>
    <n v="64.7"/>
    <s v="2025-10-03 17:22"/>
    <s v="2025-10-03 21:19"/>
    <n v="10.3"/>
    <n v="237"/>
    <n v="16.399999999999999"/>
    <s v="Clear"/>
    <n v="5"/>
    <s v="Delayed"/>
    <n v="2853.1000000000004"/>
  </r>
  <r>
    <s v="D061"/>
    <s v="SpeedGo Delivery"/>
    <s v="Clothing"/>
    <x v="4"/>
    <s v="Pasindu Herath"/>
    <s v="Kurunegala Center"/>
    <s v="Colombo Shop_33"/>
    <n v="239.2"/>
    <s v="2025-10-04 23:12"/>
    <s v="2025-10-05 01:40"/>
    <n v="29.14"/>
    <n v="148"/>
    <n v="97"/>
    <s v="Clear"/>
    <n v="5"/>
    <s v="Delayed"/>
    <n v="8071.78"/>
  </r>
  <r>
    <s v="D062"/>
    <s v="Lanka Logistics"/>
    <s v="Furniture"/>
    <x v="3"/>
    <s v="Ruwan Bandara"/>
    <s v="Kurunegala Center"/>
    <s v="Kandy Shop_67"/>
    <n v="146"/>
    <s v="2025-10-19 02:10"/>
    <s v="2025-10-19 03:52"/>
    <n v="21.52"/>
    <n v="102"/>
    <n v="85.9"/>
    <s v="Rain"/>
    <n v="10"/>
    <s v="Delayed"/>
    <n v="5961.04"/>
  </r>
  <r>
    <s v="D063"/>
    <s v="QuickLink Couriers"/>
    <s v="Furniture"/>
    <x v="5"/>
    <s v="Kavindu Ranasinghe"/>
    <s v="Galle Depot"/>
    <s v="Negombo Shop_9"/>
    <n v="214.1"/>
    <s v="2025-10-15 19:42"/>
    <s v="2025-10-15 23:01"/>
    <n v="30.32"/>
    <n v="199"/>
    <n v="64.599999999999994"/>
    <s v="Clear"/>
    <n v="10"/>
    <s v="Delayed"/>
    <n v="8398.64"/>
  </r>
  <r>
    <s v="D064"/>
    <s v="SpeedGo Delivery"/>
    <s v="Electronics"/>
    <x v="3"/>
    <s v="Lakshan Dissanayake"/>
    <s v="Galle Depot"/>
    <s v="Jaffna Shop_76"/>
    <n v="197.6"/>
    <s v="2025-10-07 14:49"/>
    <s v="2025-10-07 15:38"/>
    <n v="32.93"/>
    <n v="49"/>
    <n v="70"/>
    <s v="Cloudy"/>
    <n v="25"/>
    <s v="Delayed"/>
    <n v="9121.61"/>
  </r>
  <r>
    <s v="D065"/>
    <s v="Island Movers"/>
    <s v="Furniture"/>
    <x v="1"/>
    <s v="Dineth Madushan"/>
    <s v="Kandy Hub"/>
    <s v="Trincomalee Shop_69"/>
    <n v="119.8"/>
    <s v="2025-10-03 11:48"/>
    <s v="2025-10-03 13:43"/>
    <n v="15.39"/>
    <n v="115"/>
    <n v="62.5"/>
    <s v="Windy"/>
    <n v="10"/>
    <s v="Delayed"/>
    <n v="4263.03"/>
  </r>
  <r>
    <s v="D066"/>
    <s v="QuickLink Couriers"/>
    <s v="Furniture"/>
    <x v="5"/>
    <s v="Ruwan Bandara"/>
    <s v="Kandy Hub"/>
    <s v="Galle Shop_69"/>
    <n v="186.5"/>
    <s v="2025-10-05 18:23"/>
    <s v="2025-10-05 20:22"/>
    <n v="26.5"/>
    <n v="119"/>
    <n v="94"/>
    <s v="Cloudy"/>
    <n v="5"/>
    <s v="Delayed"/>
    <n v="7340.5"/>
  </r>
  <r>
    <s v="D067"/>
    <s v="Ceylon Express"/>
    <s v="Food"/>
    <x v="5"/>
    <s v="Isuru De Silva"/>
    <s v="Kurunegala Center"/>
    <s v="Rathnapura Shop_78"/>
    <n v="44.2"/>
    <s v="2025-10-12 17:30"/>
    <s v="2025-10-12 18:18"/>
    <n v="7.22"/>
    <n v="48"/>
    <n v="55.2"/>
    <s v="Cloudy"/>
    <n v="25"/>
    <s v="Delayed"/>
    <n v="1999.9399999999998"/>
  </r>
  <r>
    <s v="D068"/>
    <s v="QuickLink Couriers"/>
    <s v="Electronics"/>
    <x v="0"/>
    <s v="Lakshan Dissanayake"/>
    <s v="Colombo Warehouse"/>
    <s v="Kandy Shop_95"/>
    <n v="175"/>
    <s v="2025-10-20 02:47"/>
    <s v="2025-10-20 05:39"/>
    <n v="23.63"/>
    <n v="172"/>
    <n v="61"/>
    <s v="Rain"/>
    <n v="5"/>
    <s v="Delayed"/>
    <n v="6545.5099999999993"/>
  </r>
  <r>
    <s v="D069"/>
    <s v="Lanka Logistics"/>
    <s v="Electronics"/>
    <x v="1"/>
    <s v="Pasindu Herath"/>
    <s v="Kandy Hub"/>
    <s v="Trincomalee Shop_98"/>
    <n v="224.1"/>
    <s v="2025-10-02 04:45"/>
    <s v="2025-10-02 08:45"/>
    <n v="29.24"/>
    <n v="240"/>
    <n v="56"/>
    <s v="Windy"/>
    <n v="0"/>
    <s v="On Time"/>
    <n v="8099.48"/>
  </r>
  <r>
    <s v="D070"/>
    <s v="Ceylon Express"/>
    <s v="Electronics"/>
    <x v="2"/>
    <s v="Sandun Rajapaksha"/>
    <s v="Kurunegala Center"/>
    <s v="Badulla Shop_14"/>
    <n v="36.700000000000003"/>
    <s v="2025-10-19 13:48"/>
    <s v="2025-10-19 17:20"/>
    <n v="6.02"/>
    <n v="212"/>
    <n v="10.4"/>
    <s v="Windy"/>
    <n v="25"/>
    <s v="Delayed"/>
    <n v="1667.54"/>
  </r>
  <r>
    <s v="D071"/>
    <s v="FastDrop Lanka"/>
    <s v="Furniture"/>
    <x v="6"/>
    <s v="Supun Senanayake"/>
    <s v="Kurunegala Center"/>
    <s v="Badulla Shop_16"/>
    <n v="208.7"/>
    <s v="2025-10-15 08:04"/>
    <s v="2025-10-15 09:12"/>
    <n v="31.67"/>
    <n v="68"/>
    <n v="81"/>
    <s v="Cloudy"/>
    <n v="10"/>
    <s v="Delayed"/>
    <n v="8772.59"/>
  </r>
  <r>
    <s v="D072"/>
    <s v="Island Movers"/>
    <s v="Furniture"/>
    <x v="5"/>
    <s v="Kavindu Ranasinghe"/>
    <s v="Matara Warehouse"/>
    <s v="Galle Shop_32"/>
    <n v="208.1"/>
    <s v="2025-10-01 15:53"/>
    <s v="2025-10-01 17:19"/>
    <n v="31.95"/>
    <n v="86"/>
    <n v="44"/>
    <s v="Rain"/>
    <n v="15"/>
    <s v="Delayed"/>
    <n v="8850.15"/>
  </r>
  <r>
    <s v="D073"/>
    <s v="Ceylon Express"/>
    <s v="Electronics"/>
    <x v="5"/>
    <s v="Amal Kumara"/>
    <s v="Kurunegala Center"/>
    <s v="Matara Shop_37"/>
    <n v="221.3"/>
    <s v="2025-10-13 17:52"/>
    <s v="2025-10-13 18:50"/>
    <n v="29.72"/>
    <n v="58"/>
    <n v="78"/>
    <s v="Cloudy"/>
    <n v="0"/>
    <s v="On Time"/>
    <n v="8232.44"/>
  </r>
  <r>
    <s v="D074"/>
    <s v="FastDrop Lanka"/>
    <s v="Clothing"/>
    <x v="2"/>
    <s v="Amal Kumara"/>
    <s v="Colombo Warehouse"/>
    <s v="Badulla Shop_51"/>
    <n v="110"/>
    <s v="2025-10-14 05:18"/>
    <s v="2025-10-14 08:19"/>
    <n v="15.82"/>
    <n v="181"/>
    <n v="36.5"/>
    <s v="Clear"/>
    <n v="0"/>
    <s v="On Time"/>
    <n v="4382.1400000000003"/>
  </r>
  <r>
    <s v="D075"/>
    <s v="QuickLink Couriers"/>
    <s v="Furniture"/>
    <x v="5"/>
    <s v="Kavindu Ranasinghe"/>
    <s v="Galle Depot"/>
    <s v="Negombo Shop_64"/>
    <n v="230"/>
    <s v="2025-10-18 18:04"/>
    <s v="2025-10-18 22:03"/>
    <n v="34.07"/>
    <n v="239"/>
    <n v="57.7"/>
    <s v="Clear"/>
    <n v="25"/>
    <s v="Delayed"/>
    <n v="9437.39"/>
  </r>
  <r>
    <s v="D076"/>
    <s v="SpeedGo Delivery"/>
    <s v="Electronics"/>
    <x v="1"/>
    <s v="Sajith Fernando"/>
    <s v="Kandy Hub"/>
    <s v="Colombo Shop_25"/>
    <n v="173.8"/>
    <s v="2025-10-17 03:12"/>
    <s v="2025-10-17 04:13"/>
    <n v="19.649999999999999"/>
    <n v="61"/>
    <n v="69"/>
    <s v="Rain"/>
    <n v="15"/>
    <s v="Delayed"/>
    <n v="5443.0499999999993"/>
  </r>
  <r>
    <s v="D077"/>
    <s v="SpeedGo Delivery"/>
    <s v="Electronics"/>
    <x v="1"/>
    <s v="Ruwan Bandara"/>
    <s v="Galle Depot"/>
    <s v="Rathnapura Shop_73"/>
    <n v="198.9"/>
    <s v="2025-10-06 17:28"/>
    <s v="2025-10-06 19:26"/>
    <n v="24.57"/>
    <n v="118"/>
    <n v="97"/>
    <s v="Clear"/>
    <n v="0"/>
    <s v="On Time"/>
    <n v="6805.89"/>
  </r>
  <r>
    <s v="D078"/>
    <s v="Ceylon Express"/>
    <s v="Furniture"/>
    <x v="1"/>
    <s v="Lakshan Dissanayake"/>
    <s v="Jaffna Hub"/>
    <s v="Colombo Shop_86"/>
    <n v="212.8"/>
    <s v="2025-10-01 22:36"/>
    <s v="2025-10-02 02:24"/>
    <n v="34.61"/>
    <n v="228"/>
    <n v="56"/>
    <s v="Cloudy"/>
    <n v="5"/>
    <s v="Delayed"/>
    <n v="9586.9699999999993"/>
  </r>
  <r>
    <s v="D079"/>
    <s v="SpeedGo Delivery"/>
    <s v="Electronics"/>
    <x v="3"/>
    <s v="Nuwan Jayasinghe"/>
    <s v="Galle Depot"/>
    <s v="Matara Shop_97"/>
    <n v="233.4"/>
    <s v="2025-10-19 10:38"/>
    <s v="2025-10-19 13:29"/>
    <n v="33.65"/>
    <n v="171"/>
    <n v="81.900000000000006"/>
    <s v="Rain"/>
    <n v="0"/>
    <s v="On Time"/>
    <n v="9321.0499999999993"/>
  </r>
  <r>
    <s v="D080"/>
    <s v="Lanka Logistics"/>
    <s v="Furniture"/>
    <x v="3"/>
    <s v="Isuru De Silva"/>
    <s v="Kurunegala Center"/>
    <s v="Galle Shop_20"/>
    <n v="126.8"/>
    <s v="2025-10-20 23:48"/>
    <s v="2025-10-21 03:20"/>
    <n v="15.18"/>
    <n v="212"/>
    <n v="35.9"/>
    <s v="Windy"/>
    <n v="5"/>
    <s v="Delayed"/>
    <n v="4204.8599999999997"/>
  </r>
  <r>
    <s v="D081"/>
    <s v="FastDrop Lanka"/>
    <s v="Food"/>
    <x v="2"/>
    <s v="Kasun Perera"/>
    <s v="Galle Depot"/>
    <s v="Kurunegala Shop_26"/>
    <n v="220.4"/>
    <s v="2025-10-07 17:01"/>
    <s v="2025-10-07 17:54"/>
    <n v="24.66"/>
    <n v="53"/>
    <n v="84"/>
    <s v="Rain"/>
    <n v="10"/>
    <s v="Delayed"/>
    <n v="6830.82"/>
  </r>
  <r>
    <s v="D082"/>
    <s v="QuickLink Couriers"/>
    <s v="Furniture"/>
    <x v="4"/>
    <s v="Isuru De Silva"/>
    <s v="Jaffna Hub"/>
    <s v="Galle Shop_98"/>
    <n v="44.7"/>
    <s v="2025-10-11 15:46"/>
    <s v="2025-10-11 18:54"/>
    <n v="6.04"/>
    <n v="188"/>
    <n v="14.3"/>
    <s v="Rain"/>
    <n v="0"/>
    <s v="On Time"/>
    <n v="1673.08"/>
  </r>
  <r>
    <s v="D083"/>
    <s v="Island Movers"/>
    <s v="Electronics"/>
    <x v="0"/>
    <s v="Dineth Madushan"/>
    <s v="Kurunegala Center"/>
    <s v="Trincomalee Shop_60"/>
    <n v="107.5"/>
    <s v="2025-10-02 23:23"/>
    <s v="2025-10-03 03:04"/>
    <n v="14.33"/>
    <n v="221"/>
    <n v="29.2"/>
    <s v="Rain"/>
    <n v="20"/>
    <s v="Delayed"/>
    <n v="3969.41"/>
  </r>
  <r>
    <s v="D084"/>
    <s v="SpeedGo Delivery"/>
    <s v="Clothing"/>
    <x v="0"/>
    <s v="Tharindu Gunasekara"/>
    <s v="Anuradhapura Depot"/>
    <s v="Matara Shop_35"/>
    <n v="238.2"/>
    <s v="2025-10-05 15:10"/>
    <s v="2025-10-05 16:21"/>
    <n v="33.97"/>
    <n v="71"/>
    <n v="78"/>
    <s v="Windy"/>
    <n v="20"/>
    <s v="Delayed"/>
    <n v="9409.69"/>
  </r>
  <r>
    <s v="D085"/>
    <s v="FastDrop Lanka"/>
    <s v="Electronics"/>
    <x v="5"/>
    <s v="Nuwan Jayasinghe"/>
    <s v="Matara Warehouse"/>
    <s v="Kandy Shop_15"/>
    <n v="237.3"/>
    <s v="2025-10-03 10:51"/>
    <s v="2025-10-03 14:51"/>
    <n v="33.36"/>
    <n v="240"/>
    <n v="59.3"/>
    <s v="Rain"/>
    <n v="20"/>
    <s v="Delayed"/>
    <n v="9240.7199999999993"/>
  </r>
  <r>
    <s v="D086"/>
    <s v="FastDrop Lanka"/>
    <s v="Furniture"/>
    <x v="5"/>
    <s v="Isuru De Silva"/>
    <s v="Colombo Warehouse"/>
    <s v="Rathnapura Shop_84"/>
    <n v="15.1"/>
    <s v="2025-10-20 19:25"/>
    <s v="2025-10-20 23:19"/>
    <n v="2.33"/>
    <n v="234"/>
    <n v="3.9"/>
    <s v="Windy"/>
    <n v="20"/>
    <s v="Delayed"/>
    <n v="645.41"/>
  </r>
  <r>
    <s v="D087"/>
    <s v="Island Movers"/>
    <s v="Clothing"/>
    <x v="4"/>
    <s v="Chathura Weerasinghe"/>
    <s v="Galle Depot"/>
    <s v="Rathnapura Shop_23"/>
    <n v="24"/>
    <s v="2025-10-01 20:35"/>
    <s v="2025-10-02 00:23"/>
    <n v="3.2"/>
    <n v="228"/>
    <n v="6.3"/>
    <s v="Windy"/>
    <n v="0"/>
    <s v="On Time"/>
    <n v="886.40000000000009"/>
  </r>
  <r>
    <s v="D088"/>
    <s v="FastDrop Lanka"/>
    <s v="Electronics"/>
    <x v="3"/>
    <s v="Nuwan Jayasinghe"/>
    <s v="Matara Warehouse"/>
    <s v="Badulla Shop_10"/>
    <n v="181.9"/>
    <s v="2025-10-10 23:08"/>
    <s v="2025-10-11 02:49"/>
    <n v="24.99"/>
    <n v="221"/>
    <n v="49.4"/>
    <s v="Cloudy"/>
    <n v="5"/>
    <s v="Delayed"/>
    <n v="6922.23"/>
  </r>
  <r>
    <s v="D089"/>
    <s v="FastDrop Lanka"/>
    <s v="Clothing"/>
    <x v="0"/>
    <s v="Kavindu Ranasinghe"/>
    <s v="Kurunegala Center"/>
    <s v="Colombo Shop_14"/>
    <n v="204.5"/>
    <s v="2025-10-20 18:10"/>
    <s v="2025-10-20 19:10"/>
    <n v="32.590000000000003"/>
    <n v="60"/>
    <n v="57"/>
    <s v="Cloudy"/>
    <n v="20"/>
    <s v="Delayed"/>
    <n v="9027.43"/>
  </r>
  <r>
    <s v="D090"/>
    <s v="FastDrop Lanka"/>
    <s v="Furniture"/>
    <x v="6"/>
    <s v="Dineth Madushan"/>
    <s v="Anuradhapura Depot"/>
    <s v="Rathnapura Shop_8"/>
    <n v="203.8"/>
    <s v="2025-10-06 00:52"/>
    <s v="2025-10-06 04:41"/>
    <n v="25.06"/>
    <n v="229"/>
    <n v="53.4"/>
    <s v="Rain"/>
    <n v="15"/>
    <s v="Delayed"/>
    <n v="6941.62"/>
  </r>
  <r>
    <s v="D091"/>
    <s v="QuickLink Couriers"/>
    <s v="Electronics"/>
    <x v="0"/>
    <s v="Nuwan Jayasinghe"/>
    <s v="Kurunegala Center"/>
    <s v="Kandy Shop_6"/>
    <n v="10.3"/>
    <s v="2025-10-05 07:38"/>
    <s v="2025-10-05 09:33"/>
    <n v="1.42"/>
    <n v="115"/>
    <n v="5.4"/>
    <s v="Rain"/>
    <n v="15"/>
    <s v="Delayed"/>
    <n v="393.34"/>
  </r>
  <r>
    <s v="D092"/>
    <s v="SpeedGo Delivery"/>
    <s v="Furniture"/>
    <x v="1"/>
    <s v="Dineth Madushan"/>
    <s v="Colombo Warehouse"/>
    <s v="Jaffna Shop_2"/>
    <n v="146"/>
    <s v="2025-10-13 02:11"/>
    <s v="2025-10-13 05:36"/>
    <n v="16.64"/>
    <n v="205"/>
    <n v="42.7"/>
    <s v="Rain"/>
    <n v="0"/>
    <s v="On Time"/>
    <n v="4609.28"/>
  </r>
  <r>
    <s v="D093"/>
    <s v="Lanka Logistics"/>
    <s v="Food"/>
    <x v="0"/>
    <s v="Chathura Weerasinghe"/>
    <s v="Jaffna Hub"/>
    <s v="Colombo Shop_75"/>
    <n v="127.6"/>
    <s v="2025-10-14 09:21"/>
    <s v="2025-10-14 11:52"/>
    <n v="15.45"/>
    <n v="151"/>
    <n v="50.7"/>
    <s v="Clear"/>
    <n v="25"/>
    <s v="Delayed"/>
    <n v="4279.6499999999996"/>
  </r>
  <r>
    <s v="D094"/>
    <s v="Ceylon Express"/>
    <s v="Food"/>
    <x v="6"/>
    <s v="Pasindu Herath"/>
    <s v="Kurunegala Center"/>
    <s v="Matara Shop_34"/>
    <n v="31.9"/>
    <s v="2025-10-11 01:58"/>
    <s v="2025-10-11 03:05"/>
    <n v="4.4000000000000004"/>
    <n v="67"/>
    <n v="28.6"/>
    <s v="Cloudy"/>
    <n v="10"/>
    <s v="Delayed"/>
    <n v="1218.8000000000002"/>
  </r>
  <r>
    <s v="D095"/>
    <s v="Lanka Logistics"/>
    <s v="Food"/>
    <x v="4"/>
    <s v="Dineth Madushan"/>
    <s v="Matara Warehouse"/>
    <s v="Colombo Shop_68"/>
    <n v="13.5"/>
    <s v="2025-10-01 07:01"/>
    <s v="2025-10-01 10:26"/>
    <n v="1.6"/>
    <n v="205"/>
    <n v="4"/>
    <s v="Clear"/>
    <n v="20"/>
    <s v="Delayed"/>
    <n v="443.20000000000005"/>
  </r>
  <r>
    <s v="D096"/>
    <s v="QuickLink Couriers"/>
    <s v="Electronics"/>
    <x v="5"/>
    <s v="Tharindu Gunasekara"/>
    <s v="Colombo Warehouse"/>
    <s v="Matara Shop_80"/>
    <n v="195.9"/>
    <s v="2025-10-09 00:13"/>
    <s v="2025-10-09 01:46"/>
    <n v="24.52"/>
    <n v="93"/>
    <n v="76"/>
    <s v="Cloudy"/>
    <n v="25"/>
    <s v="Delayed"/>
    <n v="6792.04"/>
  </r>
  <r>
    <s v="D097"/>
    <s v="Island Movers"/>
    <s v="Food"/>
    <x v="0"/>
    <s v="Amal Kumara"/>
    <s v="Colombo Warehouse"/>
    <s v="Negombo Shop_8"/>
    <n v="207.6"/>
    <s v="2025-10-16 12:14"/>
    <s v="2025-10-16 13:28"/>
    <n v="28.01"/>
    <n v="74"/>
    <n v="70"/>
    <s v="Rain"/>
    <n v="0"/>
    <s v="On Time"/>
    <n v="7758.77"/>
  </r>
  <r>
    <s v="D098"/>
    <s v="SpeedGo Delivery"/>
    <s v="Food"/>
    <x v="6"/>
    <s v="Tharindu Gunasekara"/>
    <s v="Jaffna Hub"/>
    <s v="Galle Shop_72"/>
    <n v="159.80000000000001"/>
    <s v="2025-10-11 23:29"/>
    <s v="2025-10-12 02:54"/>
    <n v="25.5"/>
    <n v="205"/>
    <n v="46.8"/>
    <s v="Rain"/>
    <n v="15"/>
    <s v="Delayed"/>
    <n v="7063.5"/>
  </r>
  <r>
    <s v="D099"/>
    <s v="FastDrop Lanka"/>
    <s v="Clothing"/>
    <x v="4"/>
    <s v="Kasun Perera"/>
    <s v="Colombo Warehouse"/>
    <s v="Negombo Shop_54"/>
    <n v="227.4"/>
    <s v="2025-10-19 10:56"/>
    <s v="2025-10-19 12:48"/>
    <n v="27.44"/>
    <n v="112"/>
    <n v="63"/>
    <s v="Clear"/>
    <n v="0"/>
    <s v="On Time"/>
    <n v="7600.88"/>
  </r>
  <r>
    <s v="D100"/>
    <s v="Lanka Logistics"/>
    <s v="Furniture"/>
    <x v="1"/>
    <s v="Tharindu Gunasekara"/>
    <s v="Kandy Hub"/>
    <s v="Rathnapura Shop_27"/>
    <n v="135.69999999999999"/>
    <s v="2025-10-01 23:24"/>
    <s v="2025-10-02 02:20"/>
    <n v="17.18"/>
    <n v="176"/>
    <n v="46.3"/>
    <s v="Cloudy"/>
    <n v="5"/>
    <s v="Delayed"/>
    <n v="4758.8599999999997"/>
  </r>
  <r>
    <s v="D101"/>
    <s v="Lanka Logistics"/>
    <s v="Clothing"/>
    <x v="3"/>
    <s v="Sandun Rajapaksha"/>
    <s v="Kurunegala Center"/>
    <s v="Matara Shop_32"/>
    <n v="167.2"/>
    <s v="2025-10-08 20:22"/>
    <s v="2025-10-08 21:43"/>
    <n v="20.350000000000001"/>
    <n v="81"/>
    <n v="60"/>
    <s v="Rain"/>
    <n v="5"/>
    <s v="Delayed"/>
    <n v="5636.9500000000007"/>
  </r>
  <r>
    <s v="D102"/>
    <s v="Lanka Logistics"/>
    <s v="Electronics"/>
    <x v="5"/>
    <s v="Ravindu Wickramasinghe"/>
    <s v="Colombo Warehouse"/>
    <s v="Trincomalee Shop_31"/>
    <n v="27.8"/>
    <s v="2025-10-14 23:16"/>
    <s v="2025-10-15 02:51"/>
    <n v="4.42"/>
    <n v="215"/>
    <n v="7.8"/>
    <s v="Clear"/>
    <n v="10"/>
    <s v="Delayed"/>
    <n v="1224.3399999999999"/>
  </r>
  <r>
    <s v="D103"/>
    <s v="Lanka Logistics"/>
    <s v="Electronics"/>
    <x v="6"/>
    <s v="Chathura Weerasinghe"/>
    <s v="Galle Depot"/>
    <s v="Rathnapura Shop_88"/>
    <n v="64.2"/>
    <s v="2025-10-05 05:04"/>
    <s v="2025-10-05 07:12"/>
    <n v="8.65"/>
    <n v="128"/>
    <n v="30.1"/>
    <s v="Rain"/>
    <n v="20"/>
    <s v="Delayed"/>
    <n v="2396.0500000000002"/>
  </r>
  <r>
    <s v="D104"/>
    <s v="QuickLink Couriers"/>
    <s v="Clothing"/>
    <x v="2"/>
    <s v="Kasun Perera"/>
    <s v="Jaffna Hub"/>
    <s v="Badulla Shop_50"/>
    <n v="120"/>
    <s v="2025-10-13 00:47"/>
    <s v="2025-10-13 02:49"/>
    <n v="15.59"/>
    <n v="122"/>
    <n v="59"/>
    <s v="Clear"/>
    <n v="0"/>
    <s v="On Time"/>
    <n v="4318.43"/>
  </r>
  <r>
    <s v="D105"/>
    <s v="Ceylon Express"/>
    <s v="Furniture"/>
    <x v="1"/>
    <s v="Ruwan Bandara"/>
    <s v="Anuradhapura Depot"/>
    <s v="Galle Shop_49"/>
    <n v="91.8"/>
    <s v="2025-10-06 20:47"/>
    <s v="2025-10-07 00:36"/>
    <n v="13.36"/>
    <n v="229"/>
    <n v="24.1"/>
    <s v="Rain"/>
    <n v="5"/>
    <s v="Delayed"/>
    <n v="3700.72"/>
  </r>
  <r>
    <s v="D106"/>
    <s v="Ceylon Express"/>
    <s v="Electronics"/>
    <x v="1"/>
    <s v="Ravindu Wickramasinghe"/>
    <s v="Kurunegala Center"/>
    <s v="Rathnapura Shop_5"/>
    <n v="211.6"/>
    <s v="2025-10-17 05:23"/>
    <s v="2025-10-17 07:14"/>
    <n v="30.43"/>
    <n v="111"/>
    <n v="62"/>
    <s v="Windy"/>
    <n v="10"/>
    <s v="Delayed"/>
    <n v="8429.11"/>
  </r>
  <r>
    <s v="D107"/>
    <s v="Island Movers"/>
    <s v="Electronics"/>
    <x v="4"/>
    <s v="Lakshan Dissanayake"/>
    <s v="Matara Warehouse"/>
    <s v="Trincomalee Shop_77"/>
    <n v="197.6"/>
    <s v="2025-10-06 07:34"/>
    <s v="2025-10-06 10:37"/>
    <n v="29.21"/>
    <n v="183"/>
    <n v="64.8"/>
    <s v="Cloudy"/>
    <n v="10"/>
    <s v="Delayed"/>
    <n v="8091.17"/>
  </r>
  <r>
    <s v="D108"/>
    <s v="FastDrop Lanka"/>
    <s v="Food"/>
    <x v="6"/>
    <s v="Amal Kumara"/>
    <s v="Galle Depot"/>
    <s v="Kandy Shop_87"/>
    <n v="215.4"/>
    <s v="2025-10-16 18:03"/>
    <s v="2025-10-16 21:19"/>
    <n v="29.63"/>
    <n v="196"/>
    <n v="65.900000000000006"/>
    <s v="Rain"/>
    <n v="20"/>
    <s v="Delayed"/>
    <n v="8207.51"/>
  </r>
  <r>
    <s v="D109"/>
    <s v="FastDrop Lanka"/>
    <s v="Food"/>
    <x v="4"/>
    <s v="Nuwan Jayasinghe"/>
    <s v="Anuradhapura Depot"/>
    <s v="Kurunegala Shop_6"/>
    <n v="36.299999999999997"/>
    <s v="2025-10-17 21:36"/>
    <s v="2025-10-17 22:50"/>
    <n v="5.01"/>
    <n v="74"/>
    <n v="29.4"/>
    <s v="Cloudy"/>
    <n v="15"/>
    <s v="Delayed"/>
    <n v="1387.77"/>
  </r>
  <r>
    <s v="D110"/>
    <s v="Island Movers"/>
    <s v="Clothing"/>
    <x v="1"/>
    <s v="Kasun Perera"/>
    <s v="Anuradhapura Depot"/>
    <s v="Negombo Shop_74"/>
    <n v="110.5"/>
    <s v="2025-10-03 22:52"/>
    <s v="2025-10-04 00:17"/>
    <n v="14.94"/>
    <n v="85"/>
    <n v="78"/>
    <s v="Windy"/>
    <n v="0"/>
    <s v="On Time"/>
    <n v="4138.38"/>
  </r>
  <r>
    <s v="D111"/>
    <s v="SpeedGo Delivery"/>
    <s v="Food"/>
    <x v="3"/>
    <s v="Supun Senanayake"/>
    <s v="Kandy Hub"/>
    <s v="Negombo Shop_97"/>
    <n v="28.2"/>
    <s v="2025-10-02 06:26"/>
    <s v="2025-10-02 09:11"/>
    <n v="4.03"/>
    <n v="165"/>
    <n v="10.3"/>
    <s v="Windy"/>
    <n v="0"/>
    <s v="On Time"/>
    <n v="1116.3100000000002"/>
  </r>
  <r>
    <s v="D112"/>
    <s v="SpeedGo Delivery"/>
    <s v="Food"/>
    <x v="0"/>
    <s v="Chathura Weerasinghe"/>
    <s v="Anuradhapura Depot"/>
    <s v="Kurunegala Shop_68"/>
    <n v="154.1"/>
    <s v="2025-10-11 17:24"/>
    <s v="2025-10-11 19:45"/>
    <n v="24.36"/>
    <n v="141"/>
    <n v="65.599999999999994"/>
    <s v="Rain"/>
    <n v="5"/>
    <s v="Delayed"/>
    <n v="6747.72"/>
  </r>
  <r>
    <s v="D113"/>
    <s v="Lanka Logistics"/>
    <s v="Furniture"/>
    <x v="0"/>
    <s v="Lakshan Dissanayake"/>
    <s v="Colombo Warehouse"/>
    <s v="Negombo Shop_1"/>
    <n v="233.3"/>
    <s v="2025-10-05 05:06"/>
    <s v="2025-10-05 08:12"/>
    <n v="33.340000000000003"/>
    <n v="186"/>
    <n v="75.3"/>
    <s v="Cloudy"/>
    <n v="10"/>
    <s v="Delayed"/>
    <n v="9235.18"/>
  </r>
  <r>
    <s v="D114"/>
    <s v="FastDrop Lanka"/>
    <s v="Electronics"/>
    <x v="6"/>
    <s v="Tharindu Gunasekara"/>
    <s v="Matara Warehouse"/>
    <s v="Colombo Shop_95"/>
    <n v="137.6"/>
    <s v="2025-10-14 07:54"/>
    <s v="2025-10-14 11:40"/>
    <n v="21.14"/>
    <n v="226"/>
    <n v="36.5"/>
    <s v="Clear"/>
    <n v="5"/>
    <s v="Delayed"/>
    <n v="5855.78"/>
  </r>
  <r>
    <s v="D115"/>
    <s v="QuickLink Couriers"/>
    <s v="Electronics"/>
    <x v="4"/>
    <s v="Supun Senanayake"/>
    <s v="Kurunegala Center"/>
    <s v="Matara Shop_69"/>
    <n v="155.1"/>
    <s v="2025-10-14 17:54"/>
    <s v="2025-10-14 21:11"/>
    <n v="21.4"/>
    <n v="197"/>
    <n v="47.2"/>
    <s v="Windy"/>
    <n v="0"/>
    <s v="On Time"/>
    <n v="5927.7999999999993"/>
  </r>
  <r>
    <s v="D116"/>
    <s v="FastDrop Lanka"/>
    <s v="Electronics"/>
    <x v="2"/>
    <s v="Nuwan Jayasinghe"/>
    <s v="Kurunegala Center"/>
    <s v="Trincomalee Shop_88"/>
    <n v="133.9"/>
    <s v="2025-10-02 00:43"/>
    <s v="2025-10-02 04:05"/>
    <n v="19.16"/>
    <n v="202"/>
    <n v="39.799999999999997"/>
    <s v="Rain"/>
    <n v="10"/>
    <s v="Delayed"/>
    <n v="5307.32"/>
  </r>
  <r>
    <s v="D117"/>
    <s v="QuickLink Couriers"/>
    <s v="Furniture"/>
    <x v="6"/>
    <s v="Dineth Madushan"/>
    <s v="Galle Depot"/>
    <s v="Kurunegala Shop_58"/>
    <n v="141.5"/>
    <s v="2025-10-19 18:35"/>
    <s v="2025-10-19 21:17"/>
    <n v="16.11"/>
    <n v="162"/>
    <n v="52.4"/>
    <s v="Rain"/>
    <n v="0"/>
    <s v="On Time"/>
    <n v="4462.47"/>
  </r>
  <r>
    <s v="D118"/>
    <s v="FastDrop Lanka"/>
    <s v="Furniture"/>
    <x v="1"/>
    <s v="Chathura Weerasinghe"/>
    <s v="Jaffna Hub"/>
    <s v="Matara Shop_84"/>
    <n v="154.9"/>
    <s v="2025-10-08 13:12"/>
    <s v="2025-10-08 15:11"/>
    <n v="18.45"/>
    <n v="119"/>
    <n v="78.099999999999994"/>
    <s v="Windy"/>
    <n v="0"/>
    <s v="On Time"/>
    <n v="5110.6499999999996"/>
  </r>
  <r>
    <s v="D119"/>
    <s v="SpeedGo Delivery"/>
    <s v="Electronics"/>
    <x v="5"/>
    <s v="Kasun Perera"/>
    <s v="Kurunegala Center"/>
    <s v="Matara Shop_45"/>
    <n v="159.5"/>
    <s v="2025-10-13 12:47"/>
    <s v="2025-10-13 15:03"/>
    <n v="18.579999999999998"/>
    <n v="136"/>
    <n v="70.400000000000006"/>
    <s v="Clear"/>
    <n v="20"/>
    <s v="Delayed"/>
    <n v="5146.66"/>
  </r>
  <r>
    <s v="D120"/>
    <s v="QuickLink Couriers"/>
    <s v="Clothing"/>
    <x v="2"/>
    <s v="Dineth Madushan"/>
    <s v="Kandy Hub"/>
    <s v="Badulla Shop_40"/>
    <n v="134.4"/>
    <s v="2025-10-10 16:42"/>
    <s v="2025-10-10 19:42"/>
    <n v="20.5"/>
    <n v="180"/>
    <n v="44.8"/>
    <s v="Clear"/>
    <n v="5"/>
    <s v="Delayed"/>
    <n v="5678.5"/>
  </r>
  <r>
    <s v="D121"/>
    <s v="SpeedGo Delivery"/>
    <s v="Clothing"/>
    <x v="3"/>
    <s v="Sajith Fernando"/>
    <s v="Anuradhapura Depot"/>
    <s v="Negombo Shop_98"/>
    <n v="36.6"/>
    <s v="2025-10-17 16:30"/>
    <s v="2025-10-17 19:53"/>
    <n v="4.1100000000000003"/>
    <n v="203"/>
    <n v="10.8"/>
    <s v="Rain"/>
    <n v="0"/>
    <s v="On Time"/>
    <n v="1138.47"/>
  </r>
  <r>
    <s v="D122"/>
    <s v="FastDrop Lanka"/>
    <s v="Food"/>
    <x v="4"/>
    <s v="Nuwan Jayasinghe"/>
    <s v="Colombo Warehouse"/>
    <s v="Trincomalee Shop_35"/>
    <n v="30.2"/>
    <s v="2025-10-01 15:50"/>
    <s v="2025-10-01 19:15"/>
    <n v="3.85"/>
    <n v="205"/>
    <n v="8.8000000000000007"/>
    <s v="Cloudy"/>
    <n v="20"/>
    <s v="Delayed"/>
    <n v="1066.45"/>
  </r>
  <r>
    <s v="D123"/>
    <s v="SpeedGo Delivery"/>
    <s v="Electronics"/>
    <x v="2"/>
    <s v="Kasun Perera"/>
    <s v="Colombo Warehouse"/>
    <s v="Jaffna Shop_10"/>
    <n v="136.30000000000001"/>
    <s v="2025-10-05 20:42"/>
    <s v="2025-10-05 22:40"/>
    <n v="16.57"/>
    <n v="118"/>
    <n v="69.3"/>
    <s v="Clear"/>
    <n v="0"/>
    <s v="On Time"/>
    <n v="4589.8900000000003"/>
  </r>
  <r>
    <s v="D124"/>
    <s v="QuickLink Couriers"/>
    <s v="Food"/>
    <x v="0"/>
    <s v="Isuru De Silva"/>
    <s v="Matara Warehouse"/>
    <s v="Jaffna Shop_90"/>
    <n v="81.599999999999994"/>
    <s v="2025-10-21 04:13"/>
    <s v="2025-10-21 06:08"/>
    <n v="12.43"/>
    <n v="115"/>
    <n v="42.6"/>
    <s v="Windy"/>
    <n v="15"/>
    <s v="Delayed"/>
    <n v="3443.11"/>
  </r>
  <r>
    <s v="D125"/>
    <s v="SpeedGo Delivery"/>
    <s v="Electronics"/>
    <x v="3"/>
    <s v="Kavindu Ranasinghe"/>
    <s v="Anuradhapura Depot"/>
    <s v="Negombo Shop_11"/>
    <n v="197.6"/>
    <s v="2025-10-16 08:09"/>
    <s v="2025-10-16 09:11"/>
    <n v="22.95"/>
    <n v="62"/>
    <n v="43"/>
    <s v="Windy"/>
    <n v="5"/>
    <s v="Delayed"/>
    <n v="6357.15"/>
  </r>
  <r>
    <s v="D126"/>
    <s v="Island Movers"/>
    <s v="Furniture"/>
    <x v="2"/>
    <s v="Ravindu Wickramasinghe"/>
    <s v="Kurunegala Center"/>
    <s v="Galle Shop_63"/>
    <n v="198.4"/>
    <s v="2025-10-20 03:35"/>
    <s v="2025-10-20 04:46"/>
    <n v="28.94"/>
    <n v="71"/>
    <n v="70"/>
    <s v="Rain"/>
    <n v="0"/>
    <s v="On Time"/>
    <n v="8016.38"/>
  </r>
  <r>
    <s v="D127"/>
    <s v="QuickLink Couriers"/>
    <s v="Clothing"/>
    <x v="3"/>
    <s v="Pasindu Herath"/>
    <s v="Kandy Hub"/>
    <s v="Badulla Shop_11"/>
    <n v="36.4"/>
    <s v="2025-10-06 05:32"/>
    <s v="2025-10-06 08:09"/>
    <n v="4.88"/>
    <n v="157"/>
    <n v="13.9"/>
    <s v="Rain"/>
    <n v="20"/>
    <s v="Delayed"/>
    <n v="1351.76"/>
  </r>
  <r>
    <s v="D128"/>
    <s v="FastDrop Lanka"/>
    <s v="Furniture"/>
    <x v="6"/>
    <s v="Pasindu Herath"/>
    <s v="Jaffna Hub"/>
    <s v="Kurunegala Shop_45"/>
    <n v="118.2"/>
    <s v="2025-10-17 02:30"/>
    <s v="2025-10-17 04:01"/>
    <n v="15.33"/>
    <n v="91"/>
    <n v="77.900000000000006"/>
    <s v="Rain"/>
    <n v="0"/>
    <s v="On Time"/>
    <n v="4246.41"/>
  </r>
  <r>
    <s v="D129"/>
    <s v="SpeedGo Delivery"/>
    <s v="Food"/>
    <x v="6"/>
    <s v="Ruwan Bandara"/>
    <s v="Kurunegala Center"/>
    <s v="Colombo Shop_66"/>
    <n v="217.8"/>
    <s v="2025-10-13 00:20"/>
    <s v="2025-10-13 03:01"/>
    <n v="31.53"/>
    <n v="161"/>
    <n v="81.2"/>
    <s v="Windy"/>
    <n v="25"/>
    <s v="Delayed"/>
    <n v="8733.81"/>
  </r>
  <r>
    <s v="D130"/>
    <s v="Ceylon Express"/>
    <s v="Clothing"/>
    <x v="1"/>
    <s v="Ravindu Wickramasinghe"/>
    <s v="Colombo Warehouse"/>
    <s v="Rathnapura Shop_29"/>
    <n v="135"/>
    <s v="2025-10-13 19:47"/>
    <s v="2025-10-13 22:14"/>
    <n v="16.57"/>
    <n v="147"/>
    <n v="55.1"/>
    <s v="Rain"/>
    <n v="10"/>
    <s v="Delayed"/>
    <n v="4589.8900000000003"/>
  </r>
  <r>
    <s v="D131"/>
    <s v="SpeedGo Delivery"/>
    <s v="Electronics"/>
    <x v="0"/>
    <s v="Amal Kumara"/>
    <s v="Anuradhapura Depot"/>
    <s v="Colombo Shop_61"/>
    <n v="188.1"/>
    <s v="2025-10-03 00:59"/>
    <s v="2025-10-03 04:30"/>
    <n v="24.09"/>
    <n v="211"/>
    <n v="53.5"/>
    <s v="Rain"/>
    <n v="0"/>
    <s v="On Time"/>
    <n v="6672.93"/>
  </r>
  <r>
    <s v="D132"/>
    <s v="Lanka Logistics"/>
    <s v="Furniture"/>
    <x v="0"/>
    <s v="Nuwan Jayasinghe"/>
    <s v="Matara Warehouse"/>
    <s v="Rathnapura Shop_11"/>
    <n v="48.8"/>
    <s v="2025-10-18 20:17"/>
    <s v="2025-10-18 23:38"/>
    <n v="6.17"/>
    <n v="201"/>
    <n v="14.6"/>
    <s v="Cloudy"/>
    <n v="10"/>
    <s v="Delayed"/>
    <n v="1709.09"/>
  </r>
  <r>
    <s v="D133"/>
    <s v="SpeedGo Delivery"/>
    <s v="Furniture"/>
    <x v="1"/>
    <s v="Amal Kumara"/>
    <s v="Jaffna Hub"/>
    <s v="Trincomalee Shop_24"/>
    <n v="108.5"/>
    <s v="2025-10-08 20:44"/>
    <s v="2025-10-08 22:52"/>
    <n v="13.48"/>
    <n v="128"/>
    <n v="50.9"/>
    <s v="Windy"/>
    <n v="25"/>
    <s v="Delayed"/>
    <n v="3733.96"/>
  </r>
  <r>
    <s v="D134"/>
    <s v="FastDrop Lanka"/>
    <s v="Furniture"/>
    <x v="1"/>
    <s v="Isuru De Silva"/>
    <s v="Kurunegala Center"/>
    <s v="Kandy Shop_99"/>
    <n v="206.7"/>
    <s v="2025-10-17 16:31"/>
    <s v="2025-10-17 18:24"/>
    <n v="34.130000000000003"/>
    <n v="113"/>
    <n v="44"/>
    <s v="Windy"/>
    <n v="20"/>
    <s v="Delayed"/>
    <n v="9454.01"/>
  </r>
  <r>
    <s v="D135"/>
    <s v="Island Movers"/>
    <s v="Electronics"/>
    <x v="1"/>
    <s v="Tharindu Gunasekara"/>
    <s v="Kurunegala Center"/>
    <s v="Badulla Shop_95"/>
    <n v="217.8"/>
    <s v="2025-10-04 19:59"/>
    <s v="2025-10-04 22:26"/>
    <n v="31.71"/>
    <n v="147"/>
    <n v="88.9"/>
    <s v="Cloudy"/>
    <n v="15"/>
    <s v="Delayed"/>
    <n v="8783.67"/>
  </r>
  <r>
    <s v="D136"/>
    <s v="Island Movers"/>
    <s v="Food"/>
    <x v="5"/>
    <s v="Amal Kumara"/>
    <s v="Anuradhapura Depot"/>
    <s v="Colombo Shop_38"/>
    <n v="237.1"/>
    <s v="2025-10-04 09:19"/>
    <s v="2025-10-04 10:19"/>
    <n v="33.590000000000003"/>
    <n v="60"/>
    <n v="56"/>
    <s v="Rain"/>
    <n v="0"/>
    <s v="On Time"/>
    <n v="9304.43"/>
  </r>
  <r>
    <s v="D137"/>
    <s v="SpeedGo Delivery"/>
    <s v="Furniture"/>
    <x v="5"/>
    <s v="Supun Senanayake"/>
    <s v="Anuradhapura Depot"/>
    <s v="Trincomalee Shop_26"/>
    <n v="146.69999999999999"/>
    <s v="2025-10-09 00:29"/>
    <s v="2025-10-09 02:48"/>
    <n v="17.09"/>
    <n v="139"/>
    <n v="63.3"/>
    <s v="Windy"/>
    <n v="0"/>
    <s v="On Time"/>
    <n v="4733.93"/>
  </r>
  <r>
    <s v="D138"/>
    <s v="Lanka Logistics"/>
    <s v="Electronics"/>
    <x v="3"/>
    <s v="Nuwan Jayasinghe"/>
    <s v="Galle Depot"/>
    <s v="Negombo Shop_19"/>
    <n v="179.8"/>
    <s v="2025-10-05 10:16"/>
    <s v="2025-10-05 13:11"/>
    <n v="22.03"/>
    <n v="175"/>
    <n v="61.6"/>
    <s v="Cloudy"/>
    <n v="5"/>
    <s v="Delayed"/>
    <n v="6102.31"/>
  </r>
  <r>
    <s v="D139"/>
    <s v="FastDrop Lanka"/>
    <s v="Clothing"/>
    <x v="6"/>
    <s v="Lakshan Dissanayake"/>
    <s v="Matara Warehouse"/>
    <s v="Kurunegala Shop_7"/>
    <n v="106.9"/>
    <s v="2025-10-14 16:29"/>
    <s v="2025-10-14 17:29"/>
    <n v="17.670000000000002"/>
    <n v="60"/>
    <n v="71"/>
    <s v="Cloudy"/>
    <n v="0"/>
    <s v="On Time"/>
    <n v="4894.59"/>
  </r>
  <r>
    <s v="D140"/>
    <s v="FastDrop Lanka"/>
    <s v="Electronics"/>
    <x v="0"/>
    <s v="Lakshan Dissanayake"/>
    <s v="Anuradhapura Depot"/>
    <s v="Matara Shop_91"/>
    <n v="164.7"/>
    <s v="2025-10-15 19:24"/>
    <s v="2025-10-15 20:57"/>
    <n v="21.51"/>
    <n v="93"/>
    <n v="44"/>
    <s v="Clear"/>
    <n v="0"/>
    <s v="On Time"/>
    <n v="5958.27"/>
  </r>
  <r>
    <s v="D141"/>
    <s v="Island Movers"/>
    <s v="Food"/>
    <x v="2"/>
    <s v="Sajith Fernando"/>
    <s v="Jaffna Hub"/>
    <s v="Kandy Shop_13"/>
    <n v="229.8"/>
    <s v="2025-10-15 07:20"/>
    <s v="2025-10-15 10:31"/>
    <n v="33.520000000000003"/>
    <n v="191"/>
    <n v="72.2"/>
    <s v="Windy"/>
    <n v="5"/>
    <s v="Delayed"/>
    <n v="9285.0400000000009"/>
  </r>
  <r>
    <s v="D142"/>
    <s v="Island Movers"/>
    <s v="Clothing"/>
    <x v="1"/>
    <s v="Ravindu Wickramasinghe"/>
    <s v="Jaffna Hub"/>
    <s v="Rathnapura Shop_53"/>
    <n v="121.5"/>
    <s v="2025-10-04 15:43"/>
    <s v="2025-10-04 17:32"/>
    <n v="17.63"/>
    <n v="109"/>
    <n v="66.900000000000006"/>
    <s v="Windy"/>
    <n v="0"/>
    <s v="On Time"/>
    <n v="4883.5099999999993"/>
  </r>
  <r>
    <s v="D143"/>
    <s v="Lanka Logistics"/>
    <s v="Electronics"/>
    <x v="6"/>
    <s v="Kavindu Ranasinghe"/>
    <s v="Colombo Warehouse"/>
    <s v="Galle Shop_62"/>
    <n v="232.5"/>
    <s v="2025-10-18 07:53"/>
    <s v="2025-10-18 11:19"/>
    <n v="38.6"/>
    <n v="206"/>
    <n v="67.7"/>
    <s v="Clear"/>
    <n v="5"/>
    <s v="Delayed"/>
    <n v="10692.2"/>
  </r>
  <r>
    <s v="D144"/>
    <s v="Island Movers"/>
    <s v="Clothing"/>
    <x v="0"/>
    <s v="Kavindu Ranasinghe"/>
    <s v="Kandy Hub"/>
    <s v="Rathnapura Shop_75"/>
    <n v="124.8"/>
    <s v="2025-10-06 16:34"/>
    <s v="2025-10-06 17:45"/>
    <n v="16.53"/>
    <n v="71"/>
    <n v="88"/>
    <s v="Windy"/>
    <n v="25"/>
    <s v="Delayed"/>
    <n v="4578.8100000000004"/>
  </r>
  <r>
    <s v="D145"/>
    <s v="Ceylon Express"/>
    <s v="Food"/>
    <x v="1"/>
    <s v="Nuwan Jayasinghe"/>
    <s v="Kandy Hub"/>
    <s v="Colombo Shop_80"/>
    <n v="134.30000000000001"/>
    <s v="2025-10-03 01:46"/>
    <s v="2025-10-03 05:28"/>
    <n v="17.899999999999999"/>
    <n v="222"/>
    <n v="36.299999999999997"/>
    <s v="Clear"/>
    <n v="5"/>
    <s v="Delayed"/>
    <n v="4958.2999999999993"/>
  </r>
  <r>
    <s v="D146"/>
    <s v="Ceylon Express"/>
    <s v="Electronics"/>
    <x v="0"/>
    <s v="Sandun Rajapaksha"/>
    <s v="Kurunegala Center"/>
    <s v="Rathnapura Shop_69"/>
    <n v="163.5"/>
    <s v="2025-10-02 00:50"/>
    <s v="2025-10-02 02:10"/>
    <n v="21.91"/>
    <n v="80"/>
    <n v="55"/>
    <s v="Windy"/>
    <n v="10"/>
    <s v="Delayed"/>
    <n v="6069.07"/>
  </r>
  <r>
    <s v="D147"/>
    <s v="Island Movers"/>
    <s v="Food"/>
    <x v="2"/>
    <s v="Ravindu Wickramasinghe"/>
    <s v="Galle Depot"/>
    <s v="Colombo Shop_95"/>
    <n v="13.9"/>
    <s v="2025-10-16 01:27"/>
    <s v="2025-10-16 02:47"/>
    <n v="1.91"/>
    <n v="80"/>
    <n v="10.4"/>
    <s v="Clear"/>
    <n v="20"/>
    <s v="Delayed"/>
    <n v="529.06999999999994"/>
  </r>
  <r>
    <s v="D148"/>
    <s v="FastDrop Lanka"/>
    <s v="Electronics"/>
    <x v="0"/>
    <s v="Ravindu Wickramasinghe"/>
    <s v="Colombo Warehouse"/>
    <s v="Kandy Shop_17"/>
    <n v="181.3"/>
    <s v="2025-10-07 05:47"/>
    <s v="2025-10-07 09:34"/>
    <n v="27.83"/>
    <n v="227"/>
    <n v="47.9"/>
    <s v="Clear"/>
    <n v="10"/>
    <s v="Delayed"/>
    <n v="7708.91"/>
  </r>
  <r>
    <s v="D149"/>
    <s v="Island Movers"/>
    <s v="Electronics"/>
    <x v="5"/>
    <s v="Amal Kumara"/>
    <s v="Colombo Warehouse"/>
    <s v="Matara Shop_10"/>
    <n v="209"/>
    <s v="2025-10-18 07:36"/>
    <s v="2025-10-18 09:11"/>
    <n v="33.61"/>
    <n v="95"/>
    <n v="47"/>
    <s v="Rain"/>
    <n v="5"/>
    <s v="Delayed"/>
    <n v="9309.9699999999993"/>
  </r>
  <r>
    <s v="D150"/>
    <s v="Ceylon Express"/>
    <s v="Electronics"/>
    <x v="3"/>
    <s v="Isuru De Silva"/>
    <s v="Galle Depot"/>
    <s v="Badulla Shop_13"/>
    <n v="106.9"/>
    <s v="2025-10-01 12:36"/>
    <s v="2025-10-01 13:38"/>
    <n v="15.53"/>
    <n v="62"/>
    <n v="74"/>
    <s v="Windy"/>
    <n v="5"/>
    <s v="Delayed"/>
    <n v="4301.8099999999995"/>
  </r>
  <r>
    <s v="D151"/>
    <s v="SpeedGo Delivery"/>
    <s v="Furniture"/>
    <x v="1"/>
    <s v="Nuwan Jayasinghe"/>
    <s v="Galle Depot"/>
    <s v="Rathnapura Shop_44"/>
    <n v="82.1"/>
    <s v="2025-10-17 04:34"/>
    <s v="2025-10-17 07:25"/>
    <n v="9.43"/>
    <n v="171"/>
    <n v="28.8"/>
    <s v="Cloudy"/>
    <n v="10"/>
    <s v="Delayed"/>
    <n v="2612.11"/>
  </r>
  <r>
    <s v="D152"/>
    <s v="Lanka Logistics"/>
    <s v="Food"/>
    <x v="5"/>
    <s v="Tharindu Gunasekara"/>
    <s v="Anuradhapura Depot"/>
    <s v="Negombo Shop_84"/>
    <n v="110.5"/>
    <s v="2025-10-05 13:04"/>
    <s v="2025-10-05 14:35"/>
    <n v="12.45"/>
    <n v="91"/>
    <n v="72.900000000000006"/>
    <s v="Cloudy"/>
    <n v="0"/>
    <s v="On Time"/>
    <n v="3448.6499999999996"/>
  </r>
  <r>
    <s v="D153"/>
    <s v="SpeedGo Delivery"/>
    <s v="Clothing"/>
    <x v="6"/>
    <s v="Kasun Perera"/>
    <s v="Kandy Hub"/>
    <s v="Matara Shop_23"/>
    <n v="231.1"/>
    <s v="2025-10-07 07:29"/>
    <s v="2025-10-07 09:00"/>
    <n v="33.86"/>
    <n v="91"/>
    <n v="62"/>
    <s v="Cloudy"/>
    <n v="10"/>
    <s v="Delayed"/>
    <n v="9379.2199999999993"/>
  </r>
  <r>
    <s v="D154"/>
    <s v="FastDrop Lanka"/>
    <s v="Clothing"/>
    <x v="3"/>
    <s v="Ravindu Wickramasinghe"/>
    <s v="Colombo Warehouse"/>
    <s v="Jaffna Shop_16"/>
    <n v="162.6"/>
    <s v="2025-10-16 00:38"/>
    <s v="2025-10-16 03:26"/>
    <n v="21.41"/>
    <n v="168"/>
    <n v="58.1"/>
    <s v="Windy"/>
    <n v="20"/>
    <s v="Delayed"/>
    <n v="5930.57"/>
  </r>
  <r>
    <s v="D155"/>
    <s v="SpeedGo Delivery"/>
    <s v="Electronics"/>
    <x v="6"/>
    <s v="Kavindu Ranasinghe"/>
    <s v="Colombo Warehouse"/>
    <s v="Rathnapura Shop_53"/>
    <n v="198.6"/>
    <s v="2025-10-06 02:48"/>
    <s v="2025-10-06 04:33"/>
    <n v="30.71"/>
    <n v="105"/>
    <n v="84"/>
    <s v="Cloudy"/>
    <n v="10"/>
    <s v="Delayed"/>
    <n v="8506.67"/>
  </r>
  <r>
    <s v="D156"/>
    <s v="QuickLink Couriers"/>
    <s v="Furniture"/>
    <x v="4"/>
    <s v="Dineth Madushan"/>
    <s v="Kandy Hub"/>
    <s v="Trincomalee Shop_20"/>
    <n v="156.6"/>
    <s v="2025-10-06 23:04"/>
    <s v="2025-10-07 03:01"/>
    <n v="21.12"/>
    <n v="237"/>
    <n v="39.6"/>
    <s v="Cloudy"/>
    <n v="0"/>
    <s v="On Time"/>
    <n v="5850.2400000000007"/>
  </r>
  <r>
    <s v="D157"/>
    <s v="QuickLink Couriers"/>
    <s v="Electronics"/>
    <x v="1"/>
    <s v="Lakshan Dissanayake"/>
    <s v="Matara Warehouse"/>
    <s v="Jaffna Shop_87"/>
    <n v="204.9"/>
    <s v="2025-10-05 13:33"/>
    <s v="2025-10-05 15:45"/>
    <n v="25.78"/>
    <n v="132"/>
    <n v="93.1"/>
    <s v="Rain"/>
    <n v="0"/>
    <s v="On Time"/>
    <n v="7141.06"/>
  </r>
  <r>
    <s v="D158"/>
    <s v="SpeedGo Delivery"/>
    <s v="Electronics"/>
    <x v="3"/>
    <s v="Pasindu Herath"/>
    <s v="Galle Depot"/>
    <s v="Negombo Shop_5"/>
    <n v="193.6"/>
    <s v="2025-10-13 10:13"/>
    <s v="2025-10-13 11:10"/>
    <n v="22.37"/>
    <n v="57"/>
    <n v="57"/>
    <s v="Cloudy"/>
    <n v="15"/>
    <s v="Delayed"/>
    <n v="6196.4900000000007"/>
  </r>
  <r>
    <s v="D159"/>
    <s v="QuickLink Couriers"/>
    <s v="Furniture"/>
    <x v="4"/>
    <s v="Lakshan Dissanayake"/>
    <s v="Kurunegala Center"/>
    <s v="Rathnapura Shop_41"/>
    <n v="236.9"/>
    <s v="2025-10-19 05:40"/>
    <s v="2025-10-19 08:03"/>
    <n v="30.87"/>
    <n v="143"/>
    <n v="79"/>
    <s v="Rain"/>
    <n v="15"/>
    <s v="Delayed"/>
    <n v="8550.99"/>
  </r>
  <r>
    <s v="D160"/>
    <s v="FastDrop Lanka"/>
    <s v="Food"/>
    <x v="3"/>
    <s v="Sandun Rajapaksha"/>
    <s v="Kandy Hub"/>
    <s v="Trincomalee Shop_64"/>
    <n v="30.6"/>
    <s v="2025-10-15 18:38"/>
    <s v="2025-10-15 20:34"/>
    <n v="4.83"/>
    <n v="116"/>
    <n v="15.8"/>
    <s v="Cloudy"/>
    <n v="25"/>
    <s v="Delayed"/>
    <n v="1337.91"/>
  </r>
  <r>
    <s v="D161"/>
    <s v="FastDrop Lanka"/>
    <s v="Clothing"/>
    <x v="4"/>
    <s v="Kasun Perera"/>
    <s v="Matara Warehouse"/>
    <s v="Kurunegala Shop_37"/>
    <n v="37.299999999999997"/>
    <s v="2025-10-17 08:00"/>
    <s v="2025-10-17 09:33"/>
    <n v="4.2300000000000004"/>
    <n v="93"/>
    <n v="24.1"/>
    <s v="Rain"/>
    <n v="5"/>
    <s v="Delayed"/>
    <n v="1171.71"/>
  </r>
  <r>
    <s v="D162"/>
    <s v="Ceylon Express"/>
    <s v="Electronics"/>
    <x v="2"/>
    <s v="Pasindu Herath"/>
    <s v="Matara Warehouse"/>
    <s v="Badulla Shop_24"/>
    <n v="67.3"/>
    <s v="2025-10-13 01:58"/>
    <s v="2025-10-13 04:58"/>
    <n v="7.9"/>
    <n v="180"/>
    <n v="22.4"/>
    <s v="Rain"/>
    <n v="0"/>
    <s v="On Time"/>
    <n v="2188.3000000000002"/>
  </r>
  <r>
    <s v="D163"/>
    <s v="Island Movers"/>
    <s v="Furniture"/>
    <x v="6"/>
    <s v="Chathura Weerasinghe"/>
    <s v="Jaffna Hub"/>
    <s v="Trincomalee Shop_83"/>
    <n v="17.7"/>
    <s v="2025-10-19 21:03"/>
    <s v="2025-10-19 22:27"/>
    <n v="2.44"/>
    <n v="84"/>
    <n v="12.6"/>
    <s v="Cloudy"/>
    <n v="10"/>
    <s v="Delayed"/>
    <n v="675.88"/>
  </r>
  <r>
    <s v="D164"/>
    <s v="FastDrop Lanka"/>
    <s v="Food"/>
    <x v="3"/>
    <s v="Kavindu Ranasinghe"/>
    <s v="Anuradhapura Depot"/>
    <s v="Rathnapura Shop_92"/>
    <n v="173.9"/>
    <s v="2025-10-08 18:58"/>
    <s v="2025-10-08 21:57"/>
    <n v="24.34"/>
    <n v="179"/>
    <n v="58.3"/>
    <s v="Rain"/>
    <n v="0"/>
    <s v="On Time"/>
    <n v="6742.18"/>
  </r>
  <r>
    <s v="D165"/>
    <s v="SpeedGo Delivery"/>
    <s v="Food"/>
    <x v="6"/>
    <s v="Amal Kumara"/>
    <s v="Colombo Warehouse"/>
    <s v="Galle Shop_67"/>
    <n v="223.3"/>
    <s v="2025-10-14 00:20"/>
    <s v="2025-10-14 04:00"/>
    <n v="30.48"/>
    <n v="220"/>
    <n v="60.9"/>
    <s v="Cloudy"/>
    <n v="20"/>
    <s v="Delayed"/>
    <n v="8442.9600000000009"/>
  </r>
  <r>
    <s v="D166"/>
    <s v="QuickLink Couriers"/>
    <s v="Food"/>
    <x v="0"/>
    <s v="Chathura Weerasinghe"/>
    <s v="Colombo Warehouse"/>
    <s v="Rathnapura Shop_32"/>
    <n v="92.2"/>
    <s v="2025-10-12 13:51"/>
    <s v="2025-10-12 16:44"/>
    <n v="14.46"/>
    <n v="173"/>
    <n v="32"/>
    <s v="Clear"/>
    <n v="15"/>
    <s v="Delayed"/>
    <n v="4005.42"/>
  </r>
  <r>
    <s v="D167"/>
    <s v="FastDrop Lanka"/>
    <s v="Food"/>
    <x v="1"/>
    <s v="Ruwan Bandara"/>
    <s v="Anuradhapura Depot"/>
    <s v="Badulla Shop_26"/>
    <n v="85"/>
    <s v="2025-10-01 15:22"/>
    <s v="2025-10-01 17:21"/>
    <n v="10.23"/>
    <n v="119"/>
    <n v="42.9"/>
    <s v="Cloudy"/>
    <n v="5"/>
    <s v="Delayed"/>
    <n v="2833.71"/>
  </r>
  <r>
    <s v="D168"/>
    <s v="SpeedGo Delivery"/>
    <s v="Food"/>
    <x v="5"/>
    <s v="Dineth Madushan"/>
    <s v="Galle Depot"/>
    <s v="Badulla Shop_19"/>
    <n v="179.7"/>
    <s v="2025-10-11 11:23"/>
    <s v="2025-10-11 12:35"/>
    <n v="28.03"/>
    <n v="72"/>
    <n v="77"/>
    <s v="Cloudy"/>
    <n v="0"/>
    <s v="On Time"/>
    <n v="7764.31"/>
  </r>
  <r>
    <s v="D169"/>
    <s v="Island Movers"/>
    <s v="Clothing"/>
    <x v="3"/>
    <s v="Supun Senanayake"/>
    <s v="Matara Warehouse"/>
    <s v="Trincomalee Shop_100"/>
    <n v="201.6"/>
    <s v="2025-10-05 12:07"/>
    <s v="2025-10-05 15:03"/>
    <n v="29.22"/>
    <n v="176"/>
    <n v="68.7"/>
    <s v="Clear"/>
    <n v="15"/>
    <s v="Delayed"/>
    <n v="8093.94"/>
  </r>
  <r>
    <s v="D170"/>
    <s v="SpeedGo Delivery"/>
    <s v="Electronics"/>
    <x v="1"/>
    <s v="Nuwan Jayasinghe"/>
    <s v="Colombo Warehouse"/>
    <s v="Galle Shop_68"/>
    <n v="164.4"/>
    <s v="2025-10-10 16:49"/>
    <s v="2025-10-10 18:11"/>
    <n v="21.48"/>
    <n v="82"/>
    <n v="43"/>
    <s v="Clear"/>
    <n v="0"/>
    <s v="On Time"/>
    <n v="5949.96"/>
  </r>
  <r>
    <s v="D171"/>
    <s v="Ceylon Express"/>
    <s v="Furniture"/>
    <x v="0"/>
    <s v="Sandun Rajapaksha"/>
    <s v="Matara Warehouse"/>
    <s v="Kurunegala Shop_13"/>
    <n v="222.5"/>
    <s v="2025-10-14 19:03"/>
    <s v="2025-10-14 20:07"/>
    <n v="25.11"/>
    <n v="64"/>
    <n v="59"/>
    <s v="Windy"/>
    <n v="10"/>
    <s v="Delayed"/>
    <n v="6955.47"/>
  </r>
  <r>
    <s v="D172"/>
    <s v="QuickLink Couriers"/>
    <s v="Electronics"/>
    <x v="4"/>
    <s v="Chathura Weerasinghe"/>
    <s v="Matara Warehouse"/>
    <s v="Jaffna Shop_7"/>
    <n v="58.4"/>
    <s v="2025-10-17 11:22"/>
    <s v="2025-10-17 14:19"/>
    <n v="7.3"/>
    <n v="177"/>
    <n v="19.8"/>
    <s v="Rain"/>
    <n v="0"/>
    <s v="On Time"/>
    <n v="2022.1"/>
  </r>
  <r>
    <s v="D173"/>
    <s v="FastDrop Lanka"/>
    <s v="Furniture"/>
    <x v="1"/>
    <s v="Isuru De Silva"/>
    <s v="Colombo Warehouse"/>
    <s v="Galle Shop_63"/>
    <n v="80.2"/>
    <s v="2025-10-19 04:09"/>
    <s v="2025-10-19 06:51"/>
    <n v="9.61"/>
    <n v="162"/>
    <n v="29.7"/>
    <s v="Cloudy"/>
    <n v="0"/>
    <s v="On Time"/>
    <n v="2661.97"/>
  </r>
  <r>
    <s v="D174"/>
    <s v="QuickLink Couriers"/>
    <s v="Clothing"/>
    <x v="3"/>
    <s v="Supun Senanayake"/>
    <s v="Galle Depot"/>
    <s v="Negombo Shop_95"/>
    <n v="105.4"/>
    <s v="2025-10-13 11:51"/>
    <s v="2025-10-13 13:20"/>
    <n v="12.37"/>
    <n v="89"/>
    <n v="71.099999999999994"/>
    <s v="Clear"/>
    <n v="15"/>
    <s v="Delayed"/>
    <n v="3426.49"/>
  </r>
  <r>
    <s v="D175"/>
    <s v="Ceylon Express"/>
    <s v="Furniture"/>
    <x v="6"/>
    <s v="Ruwan Bandara"/>
    <s v="Kurunegala Center"/>
    <s v="Badulla Shop_87"/>
    <n v="202.1"/>
    <s v="2025-10-10 04:54"/>
    <s v="2025-10-10 08:32"/>
    <n v="23.5"/>
    <n v="218"/>
    <n v="55.6"/>
    <s v="Clear"/>
    <n v="0"/>
    <s v="On Time"/>
    <n v="6509.5"/>
  </r>
  <r>
    <s v="D176"/>
    <s v="SpeedGo Delivery"/>
    <s v="Food"/>
    <x v="0"/>
    <s v="Pasindu Herath"/>
    <s v="Colombo Warehouse"/>
    <s v="Trincomalee Shop_84"/>
    <n v="146.4"/>
    <s v="2025-10-03 22:32"/>
    <s v="2025-10-04 01:02"/>
    <n v="22.38"/>
    <n v="150"/>
    <n v="58.6"/>
    <s v="Clear"/>
    <n v="20"/>
    <s v="Delayed"/>
    <n v="6199.2599999999993"/>
  </r>
  <r>
    <s v="D177"/>
    <s v="Island Movers"/>
    <s v="Electronics"/>
    <x v="0"/>
    <s v="Ravindu Wickramasinghe"/>
    <s v="Kandy Hub"/>
    <s v="Trincomalee Shop_95"/>
    <n v="241"/>
    <s v="2025-10-07 13:07"/>
    <s v="2025-10-07 15:20"/>
    <n v="40.07"/>
    <n v="133"/>
    <n v="52"/>
    <s v="Clear"/>
    <n v="25"/>
    <s v="Delayed"/>
    <n v="11099.39"/>
  </r>
  <r>
    <s v="D178"/>
    <s v="QuickLink Couriers"/>
    <s v="Furniture"/>
    <x v="1"/>
    <s v="Nuwan Jayasinghe"/>
    <s v="Colombo Warehouse"/>
    <s v="Badulla Shop_96"/>
    <n v="204.7"/>
    <s v="2025-10-18 08:06"/>
    <s v="2025-10-18 09:28"/>
    <n v="23.44"/>
    <n v="82"/>
    <n v="71"/>
    <s v="Cloudy"/>
    <n v="20"/>
    <s v="Delayed"/>
    <n v="6492.88"/>
  </r>
  <r>
    <s v="D179"/>
    <s v="Ceylon Express"/>
    <s v="Food"/>
    <x v="5"/>
    <s v="Supun Senanayake"/>
    <s v="Matara Warehouse"/>
    <s v="Kandy Shop_26"/>
    <n v="46.7"/>
    <s v="2025-10-17 23:01"/>
    <s v="2025-10-18 01:28"/>
    <n v="7.48"/>
    <n v="147"/>
    <n v="19.100000000000001"/>
    <s v="Clear"/>
    <n v="5"/>
    <s v="Delayed"/>
    <n v="2071.96"/>
  </r>
  <r>
    <s v="D180"/>
    <s v="Island Movers"/>
    <s v="Food"/>
    <x v="3"/>
    <s v="Lakshan Dissanayake"/>
    <s v="Kurunegala Center"/>
    <s v="Rathnapura Shop_31"/>
    <n v="218.7"/>
    <s v="2025-10-18 21:21"/>
    <s v="2025-10-18 22:55"/>
    <n v="32.11"/>
    <n v="94"/>
    <n v="73"/>
    <s v="Cloudy"/>
    <n v="25"/>
    <s v="Delayed"/>
    <n v="8894.4699999999993"/>
  </r>
  <r>
    <s v="D181"/>
    <s v="FastDrop Lanka"/>
    <s v="Clothing"/>
    <x v="6"/>
    <s v="Isuru De Silva"/>
    <s v="Jaffna Hub"/>
    <s v="Kurunegala Shop_66"/>
    <n v="80.5"/>
    <s v="2025-10-09 09:56"/>
    <s v="2025-10-09 11:50"/>
    <n v="11.95"/>
    <n v="114"/>
    <n v="42.4"/>
    <s v="Windy"/>
    <n v="5"/>
    <s v="Delayed"/>
    <n v="3310.1499999999996"/>
  </r>
  <r>
    <s v="D182"/>
    <s v="Island Movers"/>
    <s v="Food"/>
    <x v="1"/>
    <s v="Tharindu Gunasekara"/>
    <s v="Anuradhapura Depot"/>
    <s v="Kurunegala Shop_13"/>
    <n v="18.899999999999999"/>
    <s v="2025-10-17 09:54"/>
    <s v="2025-10-17 11:22"/>
    <n v="2.48"/>
    <n v="88"/>
    <n v="12.9"/>
    <s v="Windy"/>
    <n v="20"/>
    <s v="Delayed"/>
    <n v="686.96"/>
  </r>
  <r>
    <s v="D183"/>
    <s v="Ceylon Express"/>
    <s v="Food"/>
    <x v="0"/>
    <s v="Dineth Madushan"/>
    <s v="Kurunegala Center"/>
    <s v="Negombo Shop_10"/>
    <n v="66.5"/>
    <s v="2025-10-17 08:59"/>
    <s v="2025-10-17 11:31"/>
    <n v="8.64"/>
    <n v="152"/>
    <n v="26.2"/>
    <s v="Rain"/>
    <n v="10"/>
    <s v="Delayed"/>
    <n v="2393.2800000000002"/>
  </r>
  <r>
    <s v="D184"/>
    <s v="Lanka Logistics"/>
    <s v="Food"/>
    <x v="3"/>
    <s v="Amal Kumara"/>
    <s v="Colombo Warehouse"/>
    <s v="Galle Shop_93"/>
    <n v="46.4"/>
    <s v="2025-10-09 16:44"/>
    <s v="2025-10-09 19:07"/>
    <n v="7.45"/>
    <n v="143"/>
    <n v="19.5"/>
    <s v="Cloudy"/>
    <n v="20"/>
    <s v="Delayed"/>
    <n v="2063.65"/>
  </r>
  <r>
    <s v="D185"/>
    <s v="SpeedGo Delivery"/>
    <s v="Electronics"/>
    <x v="5"/>
    <s v="Tharindu Gunasekara"/>
    <s v="Kandy Hub"/>
    <s v="Kurunegala Shop_24"/>
    <n v="94"/>
    <s v="2025-10-03 08:35"/>
    <s v="2025-10-03 11:46"/>
    <n v="11.07"/>
    <n v="191"/>
    <n v="29.5"/>
    <s v="Windy"/>
    <n v="15"/>
    <s v="Delayed"/>
    <n v="3066.39"/>
  </r>
  <r>
    <s v="D186"/>
    <s v="SpeedGo Delivery"/>
    <s v="Furniture"/>
    <x v="2"/>
    <s v="Kasun Perera"/>
    <s v="Kandy Hub"/>
    <s v="Galle Shop_97"/>
    <n v="127.1"/>
    <s v="2025-10-19 06:42"/>
    <s v="2025-10-19 09:54"/>
    <n v="15.21"/>
    <n v="192"/>
    <n v="39.700000000000003"/>
    <s v="Windy"/>
    <n v="0"/>
    <s v="On Time"/>
    <n v="4213.17"/>
  </r>
  <r>
    <s v="D187"/>
    <s v="Island Movers"/>
    <s v="Food"/>
    <x v="3"/>
    <s v="Lakshan Dissanayake"/>
    <s v="Matara Warehouse"/>
    <s v="Negombo Shop_1"/>
    <n v="34.200000000000003"/>
    <s v="2025-10-07 23:25"/>
    <s v="2025-10-08 01:48"/>
    <n v="4.34"/>
    <n v="143"/>
    <n v="14.3"/>
    <s v="Windy"/>
    <n v="25"/>
    <s v="Delayed"/>
    <n v="1202.18"/>
  </r>
  <r>
    <s v="D188"/>
    <s v="Island Movers"/>
    <s v="Furniture"/>
    <x v="0"/>
    <s v="Kavindu Ranasinghe"/>
    <s v="Matara Warehouse"/>
    <s v="Rathnapura Shop_16"/>
    <n v="81.5"/>
    <s v="2025-10-14 11:35"/>
    <s v="2025-10-14 14:30"/>
    <n v="10.220000000000001"/>
    <n v="175"/>
    <n v="27.9"/>
    <s v="Cloudy"/>
    <n v="5"/>
    <s v="Delayed"/>
    <n v="2830.94"/>
  </r>
  <r>
    <s v="D189"/>
    <s v="FastDrop Lanka"/>
    <s v="Furniture"/>
    <x v="0"/>
    <s v="Supun Senanayake"/>
    <s v="Jaffna Hub"/>
    <s v="Negombo Shop_3"/>
    <n v="18.2"/>
    <s v="2025-10-06 13:40"/>
    <s v="2025-10-06 17:32"/>
    <n v="2.71"/>
    <n v="232"/>
    <n v="4.7"/>
    <s v="Rain"/>
    <n v="25"/>
    <s v="Delayed"/>
    <n v="750.67"/>
  </r>
  <r>
    <s v="D190"/>
    <s v="Island Movers"/>
    <s v="Clothing"/>
    <x v="1"/>
    <s v="Amal Kumara"/>
    <s v="Galle Depot"/>
    <s v="Negombo Shop_36"/>
    <n v="67.900000000000006"/>
    <s v="2025-10-08 00:33"/>
    <s v="2025-10-08 03:49"/>
    <n v="10.5"/>
    <n v="196"/>
    <n v="20.8"/>
    <s v="Cloudy"/>
    <n v="25"/>
    <s v="Delayed"/>
    <n v="2908.5"/>
  </r>
  <r>
    <s v="D191"/>
    <s v="Ceylon Express"/>
    <s v="Clothing"/>
    <x v="5"/>
    <s v="Dineth Madushan"/>
    <s v="Kurunegala Center"/>
    <s v="Matara Shop_47"/>
    <n v="76"/>
    <s v="2025-10-10 21:52"/>
    <s v="2025-10-11 00:30"/>
    <n v="10.84"/>
    <n v="158"/>
    <n v="28.9"/>
    <s v="Rain"/>
    <n v="15"/>
    <s v="Delayed"/>
    <n v="3002.68"/>
  </r>
  <r>
    <s v="D192"/>
    <s v="SpeedGo Delivery"/>
    <s v="Electronics"/>
    <x v="1"/>
    <s v="Amal Kumara"/>
    <s v="Colombo Warehouse"/>
    <s v="Jaffna Shop_33"/>
    <n v="152.30000000000001"/>
    <s v="2025-10-02 17:17"/>
    <s v="2025-10-02 18:14"/>
    <n v="21.32"/>
    <n v="57"/>
    <n v="53"/>
    <s v="Clear"/>
    <n v="0"/>
    <s v="On Time"/>
    <n v="5905.64"/>
  </r>
  <r>
    <s v="D193"/>
    <s v="FastDrop Lanka"/>
    <s v="Food"/>
    <x v="1"/>
    <s v="Ruwan Bandara"/>
    <s v="Kandy Hub"/>
    <s v="Rathnapura Shop_9"/>
    <n v="182.3"/>
    <s v="2025-10-19 03:54"/>
    <s v="2025-10-19 07:27"/>
    <n v="20.91"/>
    <n v="213"/>
    <n v="51.4"/>
    <s v="Rain"/>
    <n v="15"/>
    <s v="Delayed"/>
    <n v="5792.07"/>
  </r>
  <r>
    <s v="D194"/>
    <s v="Lanka Logistics"/>
    <s v="Furniture"/>
    <x v="0"/>
    <s v="Pasindu Herath"/>
    <s v="Colombo Warehouse"/>
    <s v="Kandy Shop_32"/>
    <n v="19.3"/>
    <s v="2025-10-06 22:04"/>
    <s v="2025-10-06 23:33"/>
    <n v="2.5"/>
    <n v="89"/>
    <n v="13"/>
    <s v="Cloudy"/>
    <n v="0"/>
    <s v="On Time"/>
    <n v="692.5"/>
  </r>
  <r>
    <s v="D195"/>
    <s v="QuickLink Couriers"/>
    <s v="Clothing"/>
    <x v="1"/>
    <s v="Supun Senanayake"/>
    <s v="Kandy Hub"/>
    <s v="Badulla Shop_81"/>
    <n v="48.4"/>
    <s v="2025-10-04 02:50"/>
    <s v="2025-10-04 03:38"/>
    <n v="6.31"/>
    <n v="48"/>
    <n v="60.5"/>
    <s v="Rain"/>
    <n v="5"/>
    <s v="Delayed"/>
    <n v="1747.87"/>
  </r>
  <r>
    <s v="D196"/>
    <s v="QuickLink Couriers"/>
    <s v="Furniture"/>
    <x v="6"/>
    <s v="Ruwan Bandara"/>
    <s v="Kurunegala Center"/>
    <s v="Rathnapura Shop_75"/>
    <n v="210.1"/>
    <s v="2025-10-18 05:04"/>
    <s v="2025-10-18 06:07"/>
    <n v="29.45"/>
    <n v="63"/>
    <n v="81"/>
    <s v="Cloudy"/>
    <n v="25"/>
    <s v="Delayed"/>
    <n v="8157.65"/>
  </r>
  <r>
    <s v="D197"/>
    <s v="FastDrop Lanka"/>
    <s v="Food"/>
    <x v="1"/>
    <s v="Ravindu Wickramasinghe"/>
    <s v="Anuradhapura Depot"/>
    <s v="Badulla Shop_22"/>
    <n v="121.3"/>
    <s v="2025-10-13 01:40"/>
    <s v="2025-10-13 05:12"/>
    <n v="17.68"/>
    <n v="212"/>
    <n v="34.299999999999997"/>
    <s v="Windy"/>
    <n v="15"/>
    <s v="Delayed"/>
    <n v="4897.3599999999997"/>
  </r>
  <r>
    <s v="D198"/>
    <s v="Ceylon Express"/>
    <s v="Furniture"/>
    <x v="1"/>
    <s v="Supun Senanayake"/>
    <s v="Jaffna Hub"/>
    <s v="Kandy Shop_74"/>
    <n v="243.7"/>
    <s v="2025-10-13 17:12"/>
    <s v="2025-10-13 18:20"/>
    <n v="33.119999999999997"/>
    <n v="68"/>
    <n v="82"/>
    <s v="Rain"/>
    <n v="25"/>
    <s v="Delayed"/>
    <n v="9174.24"/>
  </r>
  <r>
    <s v="D199"/>
    <s v="Ceylon Express"/>
    <s v="Furniture"/>
    <x v="5"/>
    <s v="Pasindu Herath"/>
    <s v="Anuradhapura Depot"/>
    <s v="Negombo Shop_62"/>
    <n v="120.7"/>
    <s v="2025-10-06 02:02"/>
    <s v="2025-10-06 04:51"/>
    <n v="16.079999999999998"/>
    <n v="169"/>
    <n v="42.9"/>
    <s v="Cloudy"/>
    <n v="0"/>
    <s v="On Time"/>
    <n v="4454.16"/>
  </r>
  <r>
    <s v="D200"/>
    <s v="QuickLink Couriers"/>
    <s v="Food"/>
    <x v="3"/>
    <s v="Ruwan Bandara"/>
    <s v="Jaffna Hub"/>
    <s v="Rathnapura Shop_68"/>
    <n v="145.9"/>
    <s v="2025-10-17 13:00"/>
    <s v="2025-10-17 15:34"/>
    <n v="20.76"/>
    <n v="154"/>
    <n v="56.8"/>
    <s v="Windy"/>
    <n v="5"/>
    <s v="Delayed"/>
    <n v="5750.52"/>
  </r>
  <r>
    <s v="D201"/>
    <s v="Ceylon Express"/>
    <s v="Furniture"/>
    <x v="1"/>
    <s v="Sajith Fernando"/>
    <s v="Colombo Warehouse"/>
    <s v="Matara Shop_44"/>
    <n v="245.9"/>
    <s v="2025-10-18 18:17"/>
    <s v="2025-10-18 21:46"/>
    <n v="35.700000000000003"/>
    <n v="209"/>
    <n v="70.599999999999994"/>
    <s v="Rain"/>
    <n v="0"/>
    <s v="On Time"/>
    <n v="9888.9000000000015"/>
  </r>
  <r>
    <s v="D202"/>
    <s v="FastDrop Lanka"/>
    <s v="Clothing"/>
    <x v="3"/>
    <s v="Sajith Fernando"/>
    <s v="Colombo Warehouse"/>
    <s v="Trincomalee Shop_89"/>
    <n v="125.5"/>
    <s v="2025-10-18 04:31"/>
    <s v="2025-10-18 07:16"/>
    <n v="19.690000000000001"/>
    <n v="165"/>
    <n v="45.6"/>
    <s v="Rain"/>
    <n v="10"/>
    <s v="Delayed"/>
    <n v="5454.13"/>
  </r>
  <r>
    <s v="D203"/>
    <s v="FastDrop Lanka"/>
    <s v="Furniture"/>
    <x v="6"/>
    <s v="Nuwan Jayasinghe"/>
    <s v="Galle Depot"/>
    <s v="Matara Shop_20"/>
    <n v="177.1"/>
    <s v="2025-10-11 12:44"/>
    <s v="2025-10-11 13:45"/>
    <n v="27.53"/>
    <n v="61"/>
    <n v="67"/>
    <s v="Cloudy"/>
    <n v="25"/>
    <s v="Delayed"/>
    <n v="7625.81"/>
  </r>
  <r>
    <s v="D204"/>
    <s v="Lanka Logistics"/>
    <s v="Food"/>
    <x v="1"/>
    <s v="Chathura Weerasinghe"/>
    <s v="Kandy Hub"/>
    <s v="Rathnapura Shop_20"/>
    <n v="210.5"/>
    <s v="2025-10-14 07:22"/>
    <s v="2025-10-14 10:12"/>
    <n v="31.25"/>
    <n v="170"/>
    <n v="74.3"/>
    <s v="Cloudy"/>
    <n v="5"/>
    <s v="Delayed"/>
    <n v="8656.25"/>
  </r>
  <r>
    <s v="D205"/>
    <s v="FastDrop Lanka"/>
    <s v="Electronics"/>
    <x v="0"/>
    <s v="Isuru De Silva"/>
    <s v="Matara Warehouse"/>
    <s v="Colombo Shop_49"/>
    <n v="210.9"/>
    <s v="2025-10-20 06:31"/>
    <s v="2025-10-20 09:42"/>
    <n v="26.78"/>
    <n v="191"/>
    <n v="66.3"/>
    <s v="Windy"/>
    <n v="15"/>
    <s v="Delayed"/>
    <n v="7418.06"/>
  </r>
  <r>
    <s v="D206"/>
    <s v="Ceylon Express"/>
    <s v="Furniture"/>
    <x v="3"/>
    <s v="Kavindu Ranasinghe"/>
    <s v="Anuradhapura Depot"/>
    <s v="Colombo Shop_30"/>
    <n v="93.1"/>
    <s v="2025-10-03 10:43"/>
    <s v="2025-10-03 12:04"/>
    <n v="13.42"/>
    <n v="81"/>
    <n v="69"/>
    <s v="Cloudy"/>
    <n v="20"/>
    <s v="Delayed"/>
    <n v="3717.34"/>
  </r>
  <r>
    <s v="D207"/>
    <s v="Island Movers"/>
    <s v="Food"/>
    <x v="3"/>
    <s v="Kavindu Ranasinghe"/>
    <s v="Galle Depot"/>
    <s v="Rathnapura Shop_78"/>
    <n v="189.2"/>
    <s v="2025-10-15 00:04"/>
    <s v="2025-10-15 03:27"/>
    <n v="29.74"/>
    <n v="203"/>
    <n v="55.9"/>
    <s v="Rain"/>
    <n v="0"/>
    <s v="On Time"/>
    <n v="8237.98"/>
  </r>
  <r>
    <s v="D208"/>
    <s v="Lanka Logistics"/>
    <s v="Furniture"/>
    <x v="1"/>
    <s v="Amal Kumara"/>
    <s v="Matara Warehouse"/>
    <s v="Badulla Shop_94"/>
    <n v="113.2"/>
    <s v="2025-10-04 05:16"/>
    <s v="2025-10-04 07:47"/>
    <n v="12.74"/>
    <n v="151"/>
    <n v="45"/>
    <s v="Cloudy"/>
    <n v="15"/>
    <s v="Delayed"/>
    <n v="3528.98"/>
  </r>
  <r>
    <s v="D209"/>
    <s v="Ceylon Express"/>
    <s v="Electronics"/>
    <x v="6"/>
    <s v="Nuwan Jayasinghe"/>
    <s v="Kurunegala Center"/>
    <s v="Matara Shop_5"/>
    <n v="83.3"/>
    <s v="2025-10-03 14:22"/>
    <s v="2025-10-03 15:53"/>
    <n v="13.24"/>
    <n v="91"/>
    <n v="54.9"/>
    <s v="Windy"/>
    <n v="20"/>
    <s v="Delayed"/>
    <n v="3667.48"/>
  </r>
  <r>
    <s v="D210"/>
    <s v="SpeedGo Delivery"/>
    <s v="Food"/>
    <x v="2"/>
    <s v="Chathura Weerasinghe"/>
    <s v="Matara Warehouse"/>
    <s v="Kurunegala Shop_9"/>
    <n v="25.6"/>
    <s v="2025-10-14 01:13"/>
    <s v="2025-10-14 02:58"/>
    <n v="3.34"/>
    <n v="105"/>
    <n v="14.6"/>
    <s v="Rain"/>
    <n v="0"/>
    <s v="On Time"/>
    <n v="925.18"/>
  </r>
  <r>
    <s v="D211"/>
    <s v="Lanka Logistics"/>
    <s v="Clothing"/>
    <x v="5"/>
    <s v="Kavindu Ranasinghe"/>
    <s v="Anuradhapura Depot"/>
    <s v="Badulla Shop_48"/>
    <n v="220.7"/>
    <s v="2025-10-02 13:42"/>
    <s v="2025-10-02 16:46"/>
    <n v="25.71"/>
    <n v="184"/>
    <n v="72"/>
    <s v="Clear"/>
    <n v="0"/>
    <s v="On Time"/>
    <n v="7121.67"/>
  </r>
  <r>
    <s v="D212"/>
    <s v="QuickLink Couriers"/>
    <s v="Electronics"/>
    <x v="5"/>
    <s v="Sandun Rajapaksha"/>
    <s v="Anuradhapura Depot"/>
    <s v="Kurunegala Shop_14"/>
    <n v="73.5"/>
    <s v="2025-10-06 12:20"/>
    <s v="2025-10-06 14:26"/>
    <n v="12.11"/>
    <n v="126"/>
    <n v="35"/>
    <s v="Cloudy"/>
    <n v="15"/>
    <s v="Delayed"/>
    <n v="3354.47"/>
  </r>
  <r>
    <s v="D213"/>
    <s v="Ceylon Express"/>
    <s v="Clothing"/>
    <x v="4"/>
    <s v="Sajith Fernando"/>
    <s v="Kurunegala Center"/>
    <s v="Rathnapura Shop_11"/>
    <n v="57.5"/>
    <s v="2025-10-02 19:34"/>
    <s v="2025-10-02 20:47"/>
    <n v="7.76"/>
    <n v="73"/>
    <n v="47.3"/>
    <s v="Clear"/>
    <n v="10"/>
    <s v="Delayed"/>
    <n v="2149.52"/>
  </r>
  <r>
    <s v="D214"/>
    <s v="Lanka Logistics"/>
    <s v="Food"/>
    <x v="4"/>
    <s v="Kavindu Ranasinghe"/>
    <s v="Anuradhapura Depot"/>
    <s v="Jaffna Shop_11"/>
    <n v="166.5"/>
    <s v="2025-10-15 11:56"/>
    <s v="2025-10-15 14:22"/>
    <n v="19.68"/>
    <n v="146"/>
    <n v="68.400000000000006"/>
    <s v="Windy"/>
    <n v="0"/>
    <s v="On Time"/>
    <n v="5451.36"/>
  </r>
  <r>
    <s v="D215"/>
    <s v="Ceylon Express"/>
    <s v="Furniture"/>
    <x v="0"/>
    <s v="Kasun Perera"/>
    <s v="Anuradhapura Depot"/>
    <s v="Trincomalee Shop_57"/>
    <n v="168.6"/>
    <s v="2025-10-02 01:08"/>
    <s v="2025-10-02 04:09"/>
    <n v="20.91"/>
    <n v="181"/>
    <n v="55.9"/>
    <s v="Rain"/>
    <n v="25"/>
    <s v="Delayed"/>
    <n v="5792.07"/>
  </r>
  <r>
    <s v="D216"/>
    <s v="SpeedGo Delivery"/>
    <s v="Furniture"/>
    <x v="4"/>
    <s v="Ravindu Wickramasinghe"/>
    <s v="Colombo Warehouse"/>
    <s v="Kandy Shop_100"/>
    <n v="150.5"/>
    <s v="2025-10-07 13:01"/>
    <s v="2025-10-07 15:08"/>
    <n v="24.59"/>
    <n v="127"/>
    <n v="71.099999999999994"/>
    <s v="Clear"/>
    <n v="5"/>
    <s v="Delayed"/>
    <n v="6811.43"/>
  </r>
  <r>
    <s v="D217"/>
    <s v="QuickLink Couriers"/>
    <s v="Electronics"/>
    <x v="1"/>
    <s v="Pasindu Herath"/>
    <s v="Galle Depot"/>
    <s v="Kurunegala Shop_17"/>
    <n v="236.8"/>
    <s v="2025-10-08 17:35"/>
    <s v="2025-10-08 20:55"/>
    <n v="30.9"/>
    <n v="200"/>
    <n v="71"/>
    <s v="Clear"/>
    <n v="10"/>
    <s v="Delayed"/>
    <n v="8559.2999999999993"/>
  </r>
  <r>
    <s v="D218"/>
    <s v="Lanka Logistics"/>
    <s v="Furniture"/>
    <x v="1"/>
    <s v="Ruwan Bandara"/>
    <s v="Colombo Warehouse"/>
    <s v="Matara Shop_36"/>
    <n v="196.2"/>
    <s v="2025-10-17 14:43"/>
    <s v="2025-10-17 17:48"/>
    <n v="26.64"/>
    <n v="185"/>
    <n v="63.6"/>
    <s v="Cloudy"/>
    <n v="20"/>
    <s v="Delayed"/>
    <n v="7379.28"/>
  </r>
  <r>
    <s v="D219"/>
    <s v="Lanka Logistics"/>
    <s v="Electronics"/>
    <x v="1"/>
    <s v="Chathura Weerasinghe"/>
    <s v="Galle Depot"/>
    <s v="Matara Shop_65"/>
    <n v="98.3"/>
    <s v="2025-10-01 10:53"/>
    <s v="2025-10-01 13:15"/>
    <n v="12.93"/>
    <n v="142"/>
    <n v="41.5"/>
    <s v="Cloudy"/>
    <n v="15"/>
    <s v="Delayed"/>
    <n v="3581.61"/>
  </r>
  <r>
    <s v="D220"/>
    <s v="Lanka Logistics"/>
    <s v="Food"/>
    <x v="3"/>
    <s v="Chathura Weerasinghe"/>
    <s v="Galle Depot"/>
    <s v="Rathnapura Shop_6"/>
    <n v="31"/>
    <s v="2025-10-18 09:09"/>
    <s v="2025-10-18 11:36"/>
    <n v="4.2300000000000004"/>
    <n v="147"/>
    <n v="12.7"/>
    <s v="Cloudy"/>
    <n v="0"/>
    <s v="On Time"/>
    <n v="1171.71"/>
  </r>
  <r>
    <s v="D221"/>
    <s v="Lanka Logistics"/>
    <s v="Furniture"/>
    <x v="5"/>
    <s v="Kasun Perera"/>
    <s v="Colombo Warehouse"/>
    <s v="Trincomalee Shop_100"/>
    <n v="139.5"/>
    <s v="2025-10-08 23:35"/>
    <s v="2025-10-09 01:30"/>
    <n v="16.010000000000002"/>
    <n v="115"/>
    <n v="72.8"/>
    <s v="Rain"/>
    <n v="0"/>
    <s v="On Time"/>
    <n v="4434.7700000000004"/>
  </r>
  <r>
    <s v="D222"/>
    <s v="Ceylon Express"/>
    <s v="Clothing"/>
    <x v="6"/>
    <s v="Chathura Weerasinghe"/>
    <s v="Galle Depot"/>
    <s v="Jaffna Shop_55"/>
    <n v="129.5"/>
    <s v="2025-10-11 20:11"/>
    <s v="2025-10-11 23:55"/>
    <n v="14.54"/>
    <n v="224"/>
    <n v="34.700000000000003"/>
    <s v="Clear"/>
    <n v="25"/>
    <s v="Delayed"/>
    <n v="4027.58"/>
  </r>
  <r>
    <s v="D223"/>
    <s v="Lanka Logistics"/>
    <s v="Clothing"/>
    <x v="1"/>
    <s v="Ruwan Bandara"/>
    <s v="Galle Depot"/>
    <s v="Badulla Shop_46"/>
    <n v="229.9"/>
    <s v="2025-10-12 09:11"/>
    <s v="2025-10-12 12:21"/>
    <n v="33.28"/>
    <n v="190"/>
    <n v="72.599999999999994"/>
    <s v="Clear"/>
    <n v="5"/>
    <s v="Delayed"/>
    <n v="9218.56"/>
  </r>
  <r>
    <s v="D224"/>
    <s v="QuickLink Couriers"/>
    <s v="Food"/>
    <x v="5"/>
    <s v="Kavindu Ranasinghe"/>
    <s v="Anuradhapura Depot"/>
    <s v="Matara Shop_54"/>
    <n v="74.7"/>
    <s v="2025-10-16 08:48"/>
    <s v="2025-10-16 11:50"/>
    <n v="10.33"/>
    <n v="182"/>
    <n v="24.6"/>
    <s v="Cloudy"/>
    <n v="0"/>
    <s v="On Time"/>
    <n v="2861.41"/>
  </r>
  <r>
    <s v="D225"/>
    <s v="Lanka Logistics"/>
    <s v="Electronics"/>
    <x v="3"/>
    <s v="Dineth Madushan"/>
    <s v="Kurunegala Center"/>
    <s v="Jaffna Shop_49"/>
    <n v="151.4"/>
    <s v="2025-10-12 11:10"/>
    <s v="2025-10-12 12:02"/>
    <n v="24.84"/>
    <n v="52"/>
    <n v="52"/>
    <s v="Windy"/>
    <n v="25"/>
    <s v="Delayed"/>
    <n v="6880.68"/>
  </r>
  <r>
    <s v="D226"/>
    <s v="SpeedGo Delivery"/>
    <s v="Electronics"/>
    <x v="5"/>
    <s v="Nuwan Jayasinghe"/>
    <s v="Matara Warehouse"/>
    <s v="Rathnapura Shop_79"/>
    <n v="150.19999999999999"/>
    <s v="2025-10-08 18:42"/>
    <s v="2025-10-08 20:37"/>
    <n v="19.62"/>
    <n v="115"/>
    <n v="78.400000000000006"/>
    <s v="Windy"/>
    <n v="15"/>
    <s v="Delayed"/>
    <n v="5434.7400000000007"/>
  </r>
  <r>
    <s v="D227"/>
    <s v="FastDrop Lanka"/>
    <s v="Clothing"/>
    <x v="6"/>
    <s v="Lakshan Dissanayake"/>
    <s v="Galle Depot"/>
    <s v="Kurunegala Shop_19"/>
    <n v="163"/>
    <s v="2025-10-12 23:20"/>
    <s v="2025-10-13 02:34"/>
    <n v="26.38"/>
    <n v="194"/>
    <n v="50.4"/>
    <s v="Windy"/>
    <n v="0"/>
    <s v="On Time"/>
    <n v="7307.2599999999993"/>
  </r>
  <r>
    <s v="D228"/>
    <s v="SpeedGo Delivery"/>
    <s v="Electronics"/>
    <x v="1"/>
    <s v="Ravindu Wickramasinghe"/>
    <s v="Kurunegala Center"/>
    <s v="Galle Shop_8"/>
    <n v="101.3"/>
    <s v="2025-10-06 10:36"/>
    <s v="2025-10-06 12:27"/>
    <n v="14.56"/>
    <n v="111"/>
    <n v="54.8"/>
    <s v="Rain"/>
    <n v="25"/>
    <s v="Delayed"/>
    <n v="4033.1200000000003"/>
  </r>
  <r>
    <s v="D229"/>
    <s v="Island Movers"/>
    <s v="Furniture"/>
    <x v="6"/>
    <s v="Sandun Rajapaksha"/>
    <s v="Galle Depot"/>
    <s v="Badulla Shop_92"/>
    <n v="61.8"/>
    <s v="2025-10-12 16:50"/>
    <s v="2025-10-12 17:50"/>
    <n v="9.4600000000000009"/>
    <n v="60"/>
    <n v="61.8"/>
    <s v="Clear"/>
    <n v="20"/>
    <s v="Delayed"/>
    <n v="2620.42"/>
  </r>
  <r>
    <s v="D230"/>
    <s v="Ceylon Express"/>
    <s v="Clothing"/>
    <x v="1"/>
    <s v="Sandun Rajapaksha"/>
    <s v="Kandy Hub"/>
    <s v="Jaffna Shop_27"/>
    <n v="25.7"/>
    <s v="2025-10-11 20:12"/>
    <s v="2025-10-11 22:46"/>
    <n v="2.95"/>
    <n v="154"/>
    <n v="10"/>
    <s v="Windy"/>
    <n v="25"/>
    <s v="Delayed"/>
    <n v="817.15000000000009"/>
  </r>
  <r>
    <s v="D231"/>
    <s v="QuickLink Couriers"/>
    <s v="Food"/>
    <x v="1"/>
    <s v="Sandun Rajapaksha"/>
    <s v="Galle Depot"/>
    <s v="Rathnapura Shop_17"/>
    <n v="10.9"/>
    <s v="2025-10-15 21:09"/>
    <s v="2025-10-16 00:12"/>
    <n v="1.44"/>
    <n v="183"/>
    <n v="3.6"/>
    <s v="Cloudy"/>
    <n v="0"/>
    <s v="On Time"/>
    <n v="398.88"/>
  </r>
  <r>
    <s v="D232"/>
    <s v="FastDrop Lanka"/>
    <s v="Electronics"/>
    <x v="3"/>
    <s v="Dineth Madushan"/>
    <s v="Kandy Hub"/>
    <s v="Kurunegala Shop_71"/>
    <n v="225.3"/>
    <s v="2025-10-11 04:58"/>
    <s v="2025-10-11 08:13"/>
    <n v="27.23"/>
    <n v="195"/>
    <n v="69.3"/>
    <s v="Rain"/>
    <n v="10"/>
    <s v="Delayed"/>
    <n v="7542.71"/>
  </r>
  <r>
    <s v="D233"/>
    <s v="Ceylon Express"/>
    <s v="Clothing"/>
    <x v="5"/>
    <s v="Supun Senanayake"/>
    <s v="Anuradhapura Depot"/>
    <s v="Galle Shop_39"/>
    <n v="131.9"/>
    <s v="2025-10-21 01:37"/>
    <s v="2025-10-21 03:05"/>
    <n v="14.68"/>
    <n v="88"/>
    <n v="89.9"/>
    <s v="Clear"/>
    <n v="0"/>
    <s v="On Time"/>
    <n v="4066.36"/>
  </r>
  <r>
    <s v="D234"/>
    <s v="FastDrop Lanka"/>
    <s v="Furniture"/>
    <x v="5"/>
    <s v="Kavindu Ranasinghe"/>
    <s v="Colombo Warehouse"/>
    <s v="Jaffna Shop_54"/>
    <n v="219"/>
    <s v="2025-10-05 15:03"/>
    <s v="2025-10-05 16:17"/>
    <n v="28.64"/>
    <n v="74"/>
    <n v="83"/>
    <s v="Cloudy"/>
    <n v="0"/>
    <s v="On Time"/>
    <n v="7933.28"/>
  </r>
  <r>
    <s v="D235"/>
    <s v="QuickLink Couriers"/>
    <s v="Furniture"/>
    <x v="2"/>
    <s v="Ravindu Wickramasinghe"/>
    <s v="Kurunegala Center"/>
    <s v="Kandy Shop_70"/>
    <n v="24"/>
    <s v="2025-10-16 02:23"/>
    <s v="2025-10-16 05:21"/>
    <n v="2.91"/>
    <n v="178"/>
    <n v="8.1"/>
    <s v="Windy"/>
    <n v="15"/>
    <s v="Delayed"/>
    <n v="806.07"/>
  </r>
  <r>
    <s v="D236"/>
    <s v="FastDrop Lanka"/>
    <s v="Electronics"/>
    <x v="5"/>
    <s v="Amal Kumara"/>
    <s v="Galle Depot"/>
    <s v="Badulla Shop_33"/>
    <n v="183"/>
    <s v="2025-10-13 00:50"/>
    <s v="2025-10-13 02:27"/>
    <n v="24.79"/>
    <n v="97"/>
    <n v="51"/>
    <s v="Rain"/>
    <n v="25"/>
    <s v="Delayed"/>
    <n v="6866.83"/>
  </r>
  <r>
    <s v="D237"/>
    <s v="SpeedGo Delivery"/>
    <s v="Furniture"/>
    <x v="3"/>
    <s v="Chathura Weerasinghe"/>
    <s v="Galle Depot"/>
    <s v="Kandy Shop_87"/>
    <n v="133.80000000000001"/>
    <s v="2025-10-06 09:43"/>
    <s v="2025-10-06 12:44"/>
    <n v="22.01"/>
    <n v="181"/>
    <n v="44.4"/>
    <s v="Windy"/>
    <n v="0"/>
    <s v="On Time"/>
    <n v="6096.77"/>
  </r>
  <r>
    <s v="D238"/>
    <s v="Lanka Logistics"/>
    <s v="Clothing"/>
    <x v="6"/>
    <s v="Dineth Madushan"/>
    <s v="Matara Warehouse"/>
    <s v="Jaffna Shop_51"/>
    <n v="22.1"/>
    <s v="2025-10-09 08:51"/>
    <s v="2025-10-09 10:59"/>
    <n v="3.25"/>
    <n v="128"/>
    <n v="10.4"/>
    <s v="Rain"/>
    <n v="0"/>
    <s v="On Time"/>
    <n v="900.25"/>
  </r>
  <r>
    <s v="D239"/>
    <s v="FastDrop Lanka"/>
    <s v="Electronics"/>
    <x v="4"/>
    <s v="Pasindu Herath"/>
    <s v="Galle Depot"/>
    <s v="Badulla Shop_16"/>
    <n v="163.9"/>
    <s v="2025-10-07 17:05"/>
    <s v="2025-10-07 21:04"/>
    <n v="19.53"/>
    <n v="239"/>
    <n v="41.1"/>
    <s v="Cloudy"/>
    <n v="20"/>
    <s v="Delayed"/>
    <n v="5409.81"/>
  </r>
  <r>
    <s v="D240"/>
    <s v="Ceylon Express"/>
    <s v="Furniture"/>
    <x v="0"/>
    <s v="Sandun Rajapaksha"/>
    <s v="Anuradhapura Depot"/>
    <s v="Matara Shop_19"/>
    <n v="96.2"/>
    <s v="2025-10-20 22:19"/>
    <s v="2025-10-20 23:05"/>
    <n v="12.52"/>
    <n v="46"/>
    <n v="93"/>
    <s v="Clear"/>
    <n v="0"/>
    <s v="On Time"/>
    <n v="3468.04"/>
  </r>
  <r>
    <s v="D241"/>
    <s v="Island Movers"/>
    <s v="Furniture"/>
    <x v="1"/>
    <s v="Sandun Rajapaksha"/>
    <s v="Matara Warehouse"/>
    <s v="Rathnapura Shop_44"/>
    <n v="226.8"/>
    <s v="2025-10-19 07:12"/>
    <s v="2025-10-19 10:25"/>
    <n v="32.97"/>
    <n v="193"/>
    <n v="70.5"/>
    <s v="Cloudy"/>
    <n v="0"/>
    <s v="On Time"/>
    <n v="9132.69"/>
  </r>
  <r>
    <s v="D242"/>
    <s v="FastDrop Lanka"/>
    <s v="Clothing"/>
    <x v="5"/>
    <s v="Nuwan Jayasinghe"/>
    <s v="Kandy Hub"/>
    <s v="Matara Shop_9"/>
    <n v="134.6"/>
    <s v="2025-10-18 08:54"/>
    <s v="2025-10-18 10:49"/>
    <n v="16.88"/>
    <n v="115"/>
    <n v="70.2"/>
    <s v="Cloudy"/>
    <n v="0"/>
    <s v="On Time"/>
    <n v="4675.7599999999993"/>
  </r>
  <r>
    <s v="D243"/>
    <s v="Ceylon Express"/>
    <s v="Clothing"/>
    <x v="5"/>
    <s v="Sajith Fernando"/>
    <s v="Anuradhapura Depot"/>
    <s v="Badulla Shop_46"/>
    <n v="16.600000000000001"/>
    <s v="2025-10-12 00:35"/>
    <s v="2025-10-12 03:58"/>
    <n v="2.39"/>
    <n v="203"/>
    <n v="4.9000000000000004"/>
    <s v="Cloudy"/>
    <n v="20"/>
    <s v="Delayed"/>
    <n v="662.03000000000009"/>
  </r>
  <r>
    <s v="D244"/>
    <s v="SpeedGo Delivery"/>
    <s v="Food"/>
    <x v="6"/>
    <s v="Tharindu Gunasekara"/>
    <s v="Kandy Hub"/>
    <s v="Galle Shop_71"/>
    <n v="142.9"/>
    <s v="2025-10-17 20:59"/>
    <s v="2025-10-17 23:02"/>
    <n v="18.93"/>
    <n v="123"/>
    <n v="69.7"/>
    <s v="Clear"/>
    <n v="5"/>
    <s v="Delayed"/>
    <n v="5243.61"/>
  </r>
  <r>
    <s v="D245"/>
    <s v="Lanka Logistics"/>
    <s v="Food"/>
    <x v="0"/>
    <s v="Pasindu Herath"/>
    <s v="Jaffna Hub"/>
    <s v="Rathnapura Shop_66"/>
    <n v="184.6"/>
    <s v="2025-10-01 10:55"/>
    <s v="2025-10-01 13:56"/>
    <n v="25.36"/>
    <n v="181"/>
    <n v="61.2"/>
    <s v="Rain"/>
    <n v="0"/>
    <s v="On Time"/>
    <n v="7024.72"/>
  </r>
  <r>
    <s v="D246"/>
    <s v="Lanka Logistics"/>
    <s v="Electronics"/>
    <x v="3"/>
    <s v="Kasun Perera"/>
    <s v="Kurunegala Center"/>
    <s v="Trincomalee Shop_78"/>
    <n v="52.9"/>
    <s v="2025-10-14 08:19"/>
    <s v="2025-10-14 10:27"/>
    <n v="8.61"/>
    <n v="128"/>
    <n v="24.8"/>
    <s v="Cloudy"/>
    <n v="20"/>
    <s v="Delayed"/>
    <n v="2384.9699999999998"/>
  </r>
  <r>
    <s v="D247"/>
    <s v="QuickLink Couriers"/>
    <s v="Furniture"/>
    <x v="5"/>
    <s v="Kasun Perera"/>
    <s v="Colombo Warehouse"/>
    <s v="Trincomalee Shop_7"/>
    <n v="77.5"/>
    <s v="2025-10-15 00:11"/>
    <s v="2025-10-15 01:09"/>
    <n v="10.51"/>
    <n v="58"/>
    <n v="80.2"/>
    <s v="Cloudy"/>
    <n v="25"/>
    <s v="Delayed"/>
    <n v="2911.27"/>
  </r>
  <r>
    <s v="D248"/>
    <s v="FastDrop Lanka"/>
    <s v="Food"/>
    <x v="1"/>
    <s v="Amal Kumara"/>
    <s v="Anuradhapura Depot"/>
    <s v="Matara Shop_22"/>
    <n v="179.3"/>
    <s v="2025-10-12 15:58"/>
    <s v="2025-10-12 17:35"/>
    <n v="21.45"/>
    <n v="97"/>
    <n v="74"/>
    <s v="Windy"/>
    <n v="0"/>
    <s v="On Time"/>
    <n v="5941.65"/>
  </r>
  <r>
    <s v="D249"/>
    <s v="Island Movers"/>
    <s v="Clothing"/>
    <x v="5"/>
    <s v="Sajith Fernando"/>
    <s v="Jaffna Hub"/>
    <s v="Colombo Shop_31"/>
    <n v="78.2"/>
    <s v="2025-10-15 02:00"/>
    <s v="2025-10-15 05:52"/>
    <n v="12.38"/>
    <n v="232"/>
    <n v="20.2"/>
    <s v="Rain"/>
    <n v="0"/>
    <s v="On Time"/>
    <n v="3429.26"/>
  </r>
  <r>
    <s v="D250"/>
    <s v="Island Movers"/>
    <s v="Furniture"/>
    <x v="0"/>
    <s v="Kasun Perera"/>
    <s v="Galle Depot"/>
    <s v="Colombo Shop_77"/>
    <n v="57.1"/>
    <s v="2025-10-02 12:43"/>
    <s v="2025-10-02 15:37"/>
    <n v="8.2899999999999991"/>
    <n v="174"/>
    <n v="19.7"/>
    <s v="Rain"/>
    <n v="10"/>
    <s v="Delayed"/>
    <n v="2296.33"/>
  </r>
  <r>
    <s v="D251"/>
    <s v="QuickLink Couriers"/>
    <s v="Clothing"/>
    <x v="4"/>
    <s v="Pasindu Herath"/>
    <s v="Colombo Warehouse"/>
    <s v="Galle Shop_69"/>
    <n v="166.9"/>
    <s v="2025-10-15 13:22"/>
    <s v="2025-10-15 16:08"/>
    <n v="19.57"/>
    <n v="166"/>
    <n v="60.3"/>
    <s v="Cloudy"/>
    <n v="25"/>
    <s v="Delayed"/>
    <n v="5420.89"/>
  </r>
  <r>
    <s v="D252"/>
    <s v="QuickLink Couriers"/>
    <s v="Electronics"/>
    <x v="2"/>
    <s v="Ruwan Bandara"/>
    <s v="Anuradhapura Depot"/>
    <s v="Kandy Shop_95"/>
    <n v="194.6"/>
    <s v="2025-10-09 19:52"/>
    <s v="2025-10-09 23:07"/>
    <n v="27.03"/>
    <n v="195"/>
    <n v="59.9"/>
    <s v="Clear"/>
    <n v="25"/>
    <s v="Delayed"/>
    <n v="7487.31"/>
  </r>
  <r>
    <s v="D253"/>
    <s v="FastDrop Lanka"/>
    <s v="Food"/>
    <x v="5"/>
    <s v="Ruwan Bandara"/>
    <s v="Anuradhapura Depot"/>
    <s v="Trincomalee Shop_37"/>
    <n v="122.9"/>
    <s v="2025-10-09 15:02"/>
    <s v="2025-10-09 18:32"/>
    <n v="18.07"/>
    <n v="210"/>
    <n v="35.1"/>
    <s v="Clear"/>
    <n v="10"/>
    <s v="Delayed"/>
    <n v="5005.3900000000003"/>
  </r>
  <r>
    <s v="D254"/>
    <s v="FastDrop Lanka"/>
    <s v="Clothing"/>
    <x v="6"/>
    <s v="Nuwan Jayasinghe"/>
    <s v="Galle Depot"/>
    <s v="Jaffna Shop_24"/>
    <n v="99.1"/>
    <s v="2025-10-10 19:55"/>
    <s v="2025-10-10 21:17"/>
    <n v="12.96"/>
    <n v="82"/>
    <n v="72.5"/>
    <s v="Clear"/>
    <n v="5"/>
    <s v="Delayed"/>
    <n v="3589.92"/>
  </r>
  <r>
    <s v="D255"/>
    <s v="FastDrop Lanka"/>
    <s v="Electronics"/>
    <x v="3"/>
    <s v="Kavindu Ranasinghe"/>
    <s v="Kurunegala Center"/>
    <s v="Colombo Shop_5"/>
    <n v="187.8"/>
    <s v="2025-10-01 16:09"/>
    <s v="2025-10-01 16:54"/>
    <n v="21.81"/>
    <n v="45"/>
    <n v="54"/>
    <s v="Clear"/>
    <n v="0"/>
    <s v="On Time"/>
    <n v="6041.37"/>
  </r>
  <r>
    <s v="D256"/>
    <s v="FastDrop Lanka"/>
    <s v="Furniture"/>
    <x v="4"/>
    <s v="Ravindu Wickramasinghe"/>
    <s v="Jaffna Hub"/>
    <s v="Matara Shop_13"/>
    <n v="40.200000000000003"/>
    <s v="2025-10-12 05:24"/>
    <s v="2025-10-12 07:44"/>
    <n v="6.54"/>
    <n v="140"/>
    <n v="17.2"/>
    <s v="Windy"/>
    <n v="10"/>
    <s v="Delayed"/>
    <n v="1811.58"/>
  </r>
  <r>
    <s v="D257"/>
    <s v="SpeedGo Delivery"/>
    <s v="Electronics"/>
    <x v="6"/>
    <s v="Nuwan Jayasinghe"/>
    <s v="Kurunegala Center"/>
    <s v="Badulla Shop_62"/>
    <n v="143.1"/>
    <s v="2025-10-10 00:28"/>
    <s v="2025-10-10 01:43"/>
    <n v="18.18"/>
    <n v="75"/>
    <n v="92"/>
    <s v="Clear"/>
    <n v="0"/>
    <s v="On Time"/>
    <n v="5035.8599999999997"/>
  </r>
  <r>
    <s v="D258"/>
    <s v="FastDrop Lanka"/>
    <s v="Food"/>
    <x v="4"/>
    <s v="Sandun Rajapaksha"/>
    <s v="Colombo Warehouse"/>
    <s v="Rathnapura Shop_52"/>
    <n v="31.9"/>
    <s v="2025-10-06 22:31"/>
    <s v="2025-10-07 01:10"/>
    <n v="3.67"/>
    <n v="159"/>
    <n v="12"/>
    <s v="Rain"/>
    <n v="10"/>
    <s v="Delayed"/>
    <n v="1016.59"/>
  </r>
  <r>
    <s v="D259"/>
    <s v="SpeedGo Delivery"/>
    <s v="Electronics"/>
    <x v="5"/>
    <s v="Amal Kumara"/>
    <s v="Matara Warehouse"/>
    <s v="Kandy Shop_23"/>
    <n v="19.100000000000001"/>
    <s v="2025-10-19 23:41"/>
    <s v="2025-10-20 02:08"/>
    <n v="2.75"/>
    <n v="147"/>
    <n v="7.8"/>
    <s v="Clear"/>
    <n v="10"/>
    <s v="Delayed"/>
    <n v="761.75"/>
  </r>
  <r>
    <s v="D260"/>
    <s v="SpeedGo Delivery"/>
    <s v="Clothing"/>
    <x v="2"/>
    <s v="Dineth Madushan"/>
    <s v="Jaffna Hub"/>
    <s v="Matara Shop_62"/>
    <n v="85.8"/>
    <s v="2025-10-09 18:55"/>
    <s v="2025-10-09 22:32"/>
    <n v="12.55"/>
    <n v="217"/>
    <n v="23.7"/>
    <s v="Clear"/>
    <n v="15"/>
    <s v="Delayed"/>
    <n v="3476.3500000000004"/>
  </r>
  <r>
    <s v="D261"/>
    <s v="Island Movers"/>
    <s v="Clothing"/>
    <x v="1"/>
    <s v="Ravindu Wickramasinghe"/>
    <s v="Colombo Warehouse"/>
    <s v="Badulla Shop_64"/>
    <n v="170.5"/>
    <s v="2025-10-15 17:24"/>
    <s v="2025-10-15 18:56"/>
    <n v="28.04"/>
    <n v="92"/>
    <n v="85"/>
    <s v="Windy"/>
    <n v="10"/>
    <s v="Delayed"/>
    <n v="7767.08"/>
  </r>
  <r>
    <s v="D262"/>
    <s v="Lanka Logistics"/>
    <s v="Furniture"/>
    <x v="0"/>
    <s v="Lakshan Dissanayake"/>
    <s v="Kandy Hub"/>
    <s v="Jaffna Shop_73"/>
    <n v="148.19999999999999"/>
    <s v="2025-10-18 16:08"/>
    <s v="2025-10-18 17:41"/>
    <n v="21.4"/>
    <n v="93"/>
    <n v="95.6"/>
    <s v="Clear"/>
    <n v="20"/>
    <s v="Delayed"/>
    <n v="5927.7999999999993"/>
  </r>
  <r>
    <s v="D263"/>
    <s v="SpeedGo Delivery"/>
    <s v="Furniture"/>
    <x v="0"/>
    <s v="Nuwan Jayasinghe"/>
    <s v="Galle Depot"/>
    <s v="Negombo Shop_85"/>
    <n v="48.8"/>
    <s v="2025-10-06 11:04"/>
    <s v="2025-10-06 14:35"/>
    <n v="5.59"/>
    <n v="211"/>
    <n v="13.9"/>
    <s v="Cloudy"/>
    <n v="20"/>
    <s v="Delayed"/>
    <n v="1548.43"/>
  </r>
  <r>
    <s v="D264"/>
    <s v="QuickLink Couriers"/>
    <s v="Food"/>
    <x v="4"/>
    <s v="Amal Kumara"/>
    <s v="Colombo Warehouse"/>
    <s v="Galle Shop_56"/>
    <n v="109.7"/>
    <s v="2025-10-18 09:47"/>
    <s v="2025-10-18 11:19"/>
    <n v="15.01"/>
    <n v="92"/>
    <n v="71.5"/>
    <s v="Cloudy"/>
    <n v="25"/>
    <s v="Delayed"/>
    <n v="4157.7699999999995"/>
  </r>
  <r>
    <s v="D265"/>
    <s v="SpeedGo Delivery"/>
    <s v="Clothing"/>
    <x v="1"/>
    <s v="Sajith Fernando"/>
    <s v="Matara Warehouse"/>
    <s v="Badulla Shop_67"/>
    <n v="227.8"/>
    <s v="2025-10-12 00:46"/>
    <s v="2025-10-12 02:06"/>
    <n v="28.27"/>
    <n v="80"/>
    <n v="98"/>
    <s v="Windy"/>
    <n v="0"/>
    <s v="On Time"/>
    <n v="7830.79"/>
  </r>
  <r>
    <s v="D266"/>
    <s v="Ceylon Express"/>
    <s v="Furniture"/>
    <x v="5"/>
    <s v="Dineth Madushan"/>
    <s v="Kandy Hub"/>
    <s v="Matara Shop_35"/>
    <n v="42.9"/>
    <s v="2025-10-18 01:29"/>
    <s v="2025-10-18 04:49"/>
    <n v="6.49"/>
    <n v="200"/>
    <n v="12.9"/>
    <s v="Windy"/>
    <n v="0"/>
    <s v="On Time"/>
    <n v="1797.73"/>
  </r>
  <r>
    <s v="D267"/>
    <s v="SpeedGo Delivery"/>
    <s v="Furniture"/>
    <x v="3"/>
    <s v="Ravindu Wickramasinghe"/>
    <s v="Kandy Hub"/>
    <s v="Colombo Shop_75"/>
    <n v="137.80000000000001"/>
    <s v="2025-10-08 01:01"/>
    <s v="2025-10-08 03:11"/>
    <n v="19.079999999999998"/>
    <n v="130"/>
    <n v="63.6"/>
    <s v="Rain"/>
    <n v="15"/>
    <s v="Delayed"/>
    <n v="5285.16"/>
  </r>
  <r>
    <s v="D268"/>
    <s v="SpeedGo Delivery"/>
    <s v="Food"/>
    <x v="4"/>
    <s v="Pasindu Herath"/>
    <s v="Kurunegala Center"/>
    <s v="Kandy Shop_56"/>
    <n v="42.5"/>
    <s v="2025-10-05 20:24"/>
    <s v="2025-10-05 23:44"/>
    <n v="4.93"/>
    <n v="200"/>
    <n v="12.8"/>
    <s v="Clear"/>
    <n v="5"/>
    <s v="Delayed"/>
    <n v="1365.61"/>
  </r>
  <r>
    <s v="D269"/>
    <s v="QuickLink Couriers"/>
    <s v="Food"/>
    <x v="5"/>
    <s v="Nuwan Jayasinghe"/>
    <s v="Matara Warehouse"/>
    <s v="Negombo Shop_38"/>
    <n v="224"/>
    <s v="2025-10-06 02:46"/>
    <s v="2025-10-06 04:13"/>
    <n v="31.21"/>
    <n v="87"/>
    <n v="88"/>
    <s v="Cloudy"/>
    <n v="25"/>
    <s v="Delayed"/>
    <n v="8645.17"/>
  </r>
  <r>
    <s v="D270"/>
    <s v="FastDrop Lanka"/>
    <s v="Clothing"/>
    <x v="1"/>
    <s v="Amal Kumara"/>
    <s v="Galle Depot"/>
    <s v="Negombo Shop_98"/>
    <n v="133.30000000000001"/>
    <s v="2025-10-12 02:07"/>
    <s v="2025-10-12 03:57"/>
    <n v="21.22"/>
    <n v="110"/>
    <n v="72.7"/>
    <s v="Clear"/>
    <n v="20"/>
    <s v="Delayed"/>
    <n v="5877.94"/>
  </r>
  <r>
    <s v="D271"/>
    <s v="QuickLink Couriers"/>
    <s v="Electronics"/>
    <x v="6"/>
    <s v="Dineth Madushan"/>
    <s v="Galle Depot"/>
    <s v="Kurunegala Shop_39"/>
    <n v="165.9"/>
    <s v="2025-10-11 20:57"/>
    <s v="2025-10-12 00:19"/>
    <n v="25.06"/>
    <n v="202"/>
    <n v="49.3"/>
    <s v="Clear"/>
    <n v="0"/>
    <s v="On Time"/>
    <n v="6941.62"/>
  </r>
  <r>
    <s v="D272"/>
    <s v="Island Movers"/>
    <s v="Clothing"/>
    <x v="4"/>
    <s v="Nuwan Jayasinghe"/>
    <s v="Anuradhapura Depot"/>
    <s v="Badulla Shop_86"/>
    <n v="18.399999999999999"/>
    <s v="2025-10-12 00:26"/>
    <s v="2025-10-12 02:28"/>
    <n v="2.1"/>
    <n v="122"/>
    <n v="9"/>
    <s v="Clear"/>
    <n v="0"/>
    <s v="On Time"/>
    <n v="581.70000000000005"/>
  </r>
  <r>
    <s v="D273"/>
    <s v="QuickLink Couriers"/>
    <s v="Electronics"/>
    <x v="5"/>
    <s v="Sajith Fernando"/>
    <s v="Jaffna Hub"/>
    <s v="Galle Shop_83"/>
    <n v="103"/>
    <s v="2025-10-11 02:26"/>
    <s v="2025-10-11 04:14"/>
    <n v="12.24"/>
    <n v="108"/>
    <n v="57.2"/>
    <s v="Windy"/>
    <n v="5"/>
    <s v="Delayed"/>
    <n v="3390.48"/>
  </r>
  <r>
    <s v="D274"/>
    <s v="FastDrop Lanka"/>
    <s v="Food"/>
    <x v="2"/>
    <s v="Amal Kumara"/>
    <s v="Galle Depot"/>
    <s v="Badulla Shop_7"/>
    <n v="134.30000000000001"/>
    <s v="2025-10-03 21:40"/>
    <s v="2025-10-03 23:05"/>
    <n v="14.99"/>
    <n v="85"/>
    <n v="94.8"/>
    <s v="Rain"/>
    <n v="0"/>
    <s v="On Time"/>
    <n v="4152.2300000000005"/>
  </r>
  <r>
    <s v="D275"/>
    <s v="Lanka Logistics"/>
    <s v="Clothing"/>
    <x v="0"/>
    <s v="Pasindu Herath"/>
    <s v="Colombo Warehouse"/>
    <s v="Rathnapura Shop_24"/>
    <n v="74.099999999999994"/>
    <s v="2025-10-07 04:41"/>
    <s v="2025-10-07 06:12"/>
    <n v="9.2100000000000009"/>
    <n v="91"/>
    <n v="48.9"/>
    <s v="Windy"/>
    <n v="10"/>
    <s v="Delayed"/>
    <n v="2551.17"/>
  </r>
  <r>
    <s v="D276"/>
    <s v="Lanka Logistics"/>
    <s v="Food"/>
    <x v="6"/>
    <s v="Lakshan Dissanayake"/>
    <s v="Anuradhapura Depot"/>
    <s v="Negombo Shop_27"/>
    <n v="123"/>
    <s v="2025-10-19 03:18"/>
    <s v="2025-10-19 06:50"/>
    <n v="14.18"/>
    <n v="212"/>
    <n v="34.799999999999997"/>
    <s v="Rain"/>
    <n v="25"/>
    <s v="Delayed"/>
    <n v="3927.86"/>
  </r>
  <r>
    <s v="D277"/>
    <s v="FastDrop Lanka"/>
    <s v="Furniture"/>
    <x v="5"/>
    <s v="Tharindu Gunasekara"/>
    <s v="Colombo Warehouse"/>
    <s v="Matara Shop_40"/>
    <n v="208.6"/>
    <s v="2025-10-15 06:27"/>
    <s v="2025-10-15 09:33"/>
    <n v="31.87"/>
    <n v="186"/>
    <n v="67.3"/>
    <s v="Rain"/>
    <n v="5"/>
    <s v="Delayed"/>
    <n v="8827.99"/>
  </r>
  <r>
    <s v="D278"/>
    <s v="SpeedGo Delivery"/>
    <s v="Food"/>
    <x v="4"/>
    <s v="Sajith Fernando"/>
    <s v="Matara Warehouse"/>
    <s v="Kandy Shop_19"/>
    <n v="235.5"/>
    <s v="2025-10-11 18:17"/>
    <s v="2025-10-11 21:10"/>
    <n v="33.65"/>
    <n v="173"/>
    <n v="81.7"/>
    <s v="Rain"/>
    <n v="15"/>
    <s v="Delayed"/>
    <n v="9321.0499999999993"/>
  </r>
  <r>
    <s v="D279"/>
    <s v="Lanka Logistics"/>
    <s v="Electronics"/>
    <x v="5"/>
    <s v="Pasindu Herath"/>
    <s v="Kurunegala Center"/>
    <s v="Jaffna Shop_72"/>
    <n v="38.299999999999997"/>
    <s v="2025-10-11 03:37"/>
    <s v="2025-10-11 07:10"/>
    <n v="4.3499999999999996"/>
    <n v="213"/>
    <n v="10.8"/>
    <s v="Rain"/>
    <n v="10"/>
    <s v="Delayed"/>
    <n v="1204.9499999999998"/>
  </r>
  <r>
    <s v="D280"/>
    <s v="QuickLink Couriers"/>
    <s v="Furniture"/>
    <x v="1"/>
    <s v="Ravindu Wickramasinghe"/>
    <s v="Jaffna Hub"/>
    <s v="Kandy Shop_17"/>
    <n v="226.9"/>
    <s v="2025-10-07 05:40"/>
    <s v="2025-10-07 07:43"/>
    <n v="32.72"/>
    <n v="123"/>
    <n v="67"/>
    <s v="Cloudy"/>
    <n v="0"/>
    <s v="On Time"/>
    <n v="9063.44"/>
  </r>
  <r>
    <s v="D281"/>
    <s v="Lanka Logistics"/>
    <s v="Clothing"/>
    <x v="4"/>
    <s v="Dineth Madushan"/>
    <s v="Jaffna Hub"/>
    <s v="Colombo Shop_22"/>
    <n v="94.9"/>
    <s v="2025-10-10 09:52"/>
    <s v="2025-10-10 13:44"/>
    <n v="10.92"/>
    <n v="232"/>
    <n v="24.5"/>
    <s v="Rain"/>
    <n v="0"/>
    <s v="On Time"/>
    <n v="3024.84"/>
  </r>
  <r>
    <s v="D282"/>
    <s v="Ceylon Express"/>
    <s v="Food"/>
    <x v="2"/>
    <s v="Lakshan Dissanayake"/>
    <s v="Kandy Hub"/>
    <s v="Kurunegala Shop_87"/>
    <n v="195"/>
    <s v="2025-10-06 01:04"/>
    <s v="2025-10-06 02:27"/>
    <n v="32.479999999999997"/>
    <n v="83"/>
    <n v="76"/>
    <s v="Cloudy"/>
    <n v="0"/>
    <s v="On Time"/>
    <n v="8996.9599999999991"/>
  </r>
  <r>
    <s v="D283"/>
    <s v="SpeedGo Delivery"/>
    <s v="Furniture"/>
    <x v="5"/>
    <s v="Dineth Madushan"/>
    <s v="Galle Depot"/>
    <s v="Matara Shop_24"/>
    <n v="43.3"/>
    <s v="2025-10-09 17:25"/>
    <s v="2025-10-09 20:31"/>
    <n v="5.24"/>
    <n v="186"/>
    <n v="14"/>
    <s v="Clear"/>
    <n v="15"/>
    <s v="Delayed"/>
    <n v="1451.48"/>
  </r>
  <r>
    <s v="D284"/>
    <s v="QuickLink Couriers"/>
    <s v="Food"/>
    <x v="2"/>
    <s v="Tharindu Gunasekara"/>
    <s v="Anuradhapura Depot"/>
    <s v="Negombo Shop_98"/>
    <n v="125.3"/>
    <s v="2025-10-11 15:59"/>
    <s v="2025-10-11 18:56"/>
    <n v="20.3"/>
    <n v="177"/>
    <n v="42.5"/>
    <s v="Clear"/>
    <n v="15"/>
    <s v="Delayed"/>
    <n v="5623.1"/>
  </r>
  <r>
    <s v="D285"/>
    <s v="QuickLink Couriers"/>
    <s v="Furniture"/>
    <x v="4"/>
    <s v="Chathura Weerasinghe"/>
    <s v="Kandy Hub"/>
    <s v="Galle Shop_11"/>
    <n v="35"/>
    <s v="2025-10-08 10:18"/>
    <s v="2025-10-08 13:34"/>
    <n v="4.43"/>
    <n v="196"/>
    <n v="10.7"/>
    <s v="Windy"/>
    <n v="0"/>
    <s v="On Time"/>
    <n v="1227.1099999999999"/>
  </r>
  <r>
    <s v="D286"/>
    <s v="Island Movers"/>
    <s v="Food"/>
    <x v="0"/>
    <s v="Sajith Fernando"/>
    <s v="Kurunegala Center"/>
    <s v="Negombo Shop_27"/>
    <n v="133.69999999999999"/>
    <s v="2025-10-18 16:27"/>
    <s v="2025-10-18 18:09"/>
    <n v="17.21"/>
    <n v="102"/>
    <n v="78.599999999999994"/>
    <s v="Clear"/>
    <n v="20"/>
    <s v="Delayed"/>
    <n v="4767.17"/>
  </r>
  <r>
    <s v="D287"/>
    <s v="FastDrop Lanka"/>
    <s v="Furniture"/>
    <x v="3"/>
    <s v="Lakshan Dissanayake"/>
    <s v="Kurunegala Center"/>
    <s v="Rathnapura Shop_56"/>
    <n v="200.9"/>
    <s v="2025-10-09 21:32"/>
    <s v="2025-10-09 22:29"/>
    <n v="26.92"/>
    <n v="57"/>
    <n v="62"/>
    <s v="Clear"/>
    <n v="15"/>
    <s v="Delayed"/>
    <n v="7456.84"/>
  </r>
  <r>
    <s v="D288"/>
    <s v="Ceylon Express"/>
    <s v="Furniture"/>
    <x v="1"/>
    <s v="Kavindu Ranasinghe"/>
    <s v="Matara Warehouse"/>
    <s v="Kurunegala Shop_7"/>
    <n v="211.3"/>
    <s v="2025-10-14 09:13"/>
    <s v="2025-10-14 10:02"/>
    <n v="29.04"/>
    <n v="49"/>
    <n v="65"/>
    <s v="Cloudy"/>
    <n v="0"/>
    <s v="On Time"/>
    <n v="8044.08"/>
  </r>
  <r>
    <s v="D289"/>
    <s v="SpeedGo Delivery"/>
    <s v="Clothing"/>
    <x v="1"/>
    <s v="Kasun Perera"/>
    <s v="Colombo Warehouse"/>
    <s v="Matara Shop_14"/>
    <n v="158.80000000000001"/>
    <s v="2025-10-01 07:03"/>
    <s v="2025-10-01 07:57"/>
    <n v="19.059999999999999"/>
    <n v="54"/>
    <n v="69"/>
    <s v="Rain"/>
    <n v="20"/>
    <s v="Delayed"/>
    <n v="5279.62"/>
  </r>
  <r>
    <s v="D290"/>
    <s v="SpeedGo Delivery"/>
    <s v="Electronics"/>
    <x v="2"/>
    <s v="Pasindu Herath"/>
    <s v="Galle Depot"/>
    <s v="Trincomalee Shop_13"/>
    <n v="13.8"/>
    <s v="2025-10-10 11:38"/>
    <s v="2025-10-10 15:03"/>
    <n v="2.0099999999999998"/>
    <n v="205"/>
    <n v="4"/>
    <s v="Windy"/>
    <n v="15"/>
    <s v="Delayed"/>
    <n v="556.77"/>
  </r>
  <r>
    <s v="D291"/>
    <s v="SpeedGo Delivery"/>
    <s v="Food"/>
    <x v="4"/>
    <s v="Supun Senanayake"/>
    <s v="Matara Warehouse"/>
    <s v="Badulla Shop_73"/>
    <n v="239"/>
    <s v="2025-10-11 23:05"/>
    <s v="2025-10-12 01:19"/>
    <n v="39.29"/>
    <n v="134"/>
    <n v="68"/>
    <s v="Windy"/>
    <n v="0"/>
    <s v="On Time"/>
    <n v="10883.33"/>
  </r>
  <r>
    <s v="D292"/>
    <s v="SpeedGo Delivery"/>
    <s v="Food"/>
    <x v="1"/>
    <s v="Ravindu Wickramasinghe"/>
    <s v="Galle Depot"/>
    <s v="Kurunegala Shop_3"/>
    <n v="32.799999999999997"/>
    <s v="2025-10-01 17:54"/>
    <s v="2025-10-01 21:45"/>
    <n v="3.96"/>
    <n v="231"/>
    <n v="8.5"/>
    <s v="Clear"/>
    <n v="0"/>
    <s v="On Time"/>
    <n v="1096.92"/>
  </r>
  <r>
    <s v="D293"/>
    <s v="Lanka Logistics"/>
    <s v="Furniture"/>
    <x v="3"/>
    <s v="Sajith Fernando"/>
    <s v="Galle Depot"/>
    <s v="Jaffna Shop_91"/>
    <n v="198.9"/>
    <s v="2025-10-10 06:26"/>
    <s v="2025-10-10 09:05"/>
    <n v="30.01"/>
    <n v="159"/>
    <n v="75.099999999999994"/>
    <s v="Windy"/>
    <n v="20"/>
    <s v="Delayed"/>
    <n v="8312.77"/>
  </r>
  <r>
    <s v="D294"/>
    <s v="QuickLink Couriers"/>
    <s v="Clothing"/>
    <x v="4"/>
    <s v="Chathura Weerasinghe"/>
    <s v="Jaffna Hub"/>
    <s v="Negombo Shop_42"/>
    <n v="238.2"/>
    <s v="2025-10-11 10:48"/>
    <s v="2025-10-11 13:22"/>
    <n v="31.3"/>
    <n v="154"/>
    <n v="92.8"/>
    <s v="Clear"/>
    <n v="0"/>
    <s v="On Time"/>
    <n v="8670.1"/>
  </r>
  <r>
    <s v="D295"/>
    <s v="FastDrop Lanka"/>
    <s v="Food"/>
    <x v="1"/>
    <s v="Ruwan Bandara"/>
    <s v="Galle Depot"/>
    <s v="Kandy Shop_61"/>
    <n v="74.099999999999994"/>
    <s v="2025-10-12 19:46"/>
    <s v="2025-10-12 21:52"/>
    <n v="8.69"/>
    <n v="126"/>
    <n v="35.299999999999997"/>
    <s v="Windy"/>
    <n v="25"/>
    <s v="Delayed"/>
    <n v="2407.1299999999997"/>
  </r>
  <r>
    <s v="D296"/>
    <s v="QuickLink Couriers"/>
    <s v="Furniture"/>
    <x v="2"/>
    <s v="Ravindu Wickramasinghe"/>
    <s v="Jaffna Hub"/>
    <s v="Negombo Shop_75"/>
    <n v="155.4"/>
    <s v="2025-10-13 19:10"/>
    <s v="2025-10-13 21:12"/>
    <n v="18.68"/>
    <n v="122"/>
    <n v="76.400000000000006"/>
    <s v="Windy"/>
    <n v="25"/>
    <s v="Delayed"/>
    <n v="5174.3599999999997"/>
  </r>
  <r>
    <s v="D297"/>
    <s v="Lanka Logistics"/>
    <s v="Electronics"/>
    <x v="2"/>
    <s v="Lakshan Dissanayake"/>
    <s v="Galle Depot"/>
    <s v="Badulla Shop_12"/>
    <n v="46.7"/>
    <s v="2025-10-05 03:51"/>
    <s v="2025-10-05 07:36"/>
    <n v="7.47"/>
    <n v="225"/>
    <n v="12.5"/>
    <s v="Cloudy"/>
    <n v="5"/>
    <s v="Delayed"/>
    <n v="2069.19"/>
  </r>
  <r>
    <s v="D298"/>
    <s v="QuickLink Couriers"/>
    <s v="Food"/>
    <x v="4"/>
    <s v="Amal Kumara"/>
    <s v="Colombo Warehouse"/>
    <s v="Badulla Shop_32"/>
    <n v="194.3"/>
    <s v="2025-10-11 04:44"/>
    <s v="2025-10-11 07:00"/>
    <n v="23.1"/>
    <n v="136"/>
    <n v="85.7"/>
    <s v="Clear"/>
    <n v="5"/>
    <s v="Delayed"/>
    <n v="6398.7000000000007"/>
  </r>
  <r>
    <s v="D299"/>
    <s v="Island Movers"/>
    <s v="Electronics"/>
    <x v="2"/>
    <s v="Pasindu Herath"/>
    <s v="Jaffna Hub"/>
    <s v="Matara Shop_59"/>
    <n v="153.9"/>
    <s v="2025-10-07 22:32"/>
    <s v="2025-10-07 23:32"/>
    <n v="25.2"/>
    <n v="60"/>
    <n v="56"/>
    <s v="Rain"/>
    <n v="5"/>
    <s v="Delayed"/>
    <n v="6980.4"/>
  </r>
  <r>
    <s v="D300"/>
    <s v="FastDrop Lanka"/>
    <s v="Furniture"/>
    <x v="5"/>
    <s v="Pasindu Herath"/>
    <s v="Jaffna Hub"/>
    <s v="Colombo Shop_23"/>
    <n v="124.2"/>
    <s v="2025-10-17 03:16"/>
    <s v="2025-10-17 04:43"/>
    <n v="15.6"/>
    <n v="87"/>
    <n v="85.7"/>
    <s v="Rain"/>
    <n v="0"/>
    <s v="On Time"/>
    <n v="4321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7D7A95-D54C-43D7-9C31-7AD6900C251D}" name="PivotTable39" cacheId="6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0" firstHeaderRow="1" firstDataRow="1" firstDataCol="1"/>
  <pivotFields count="17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0"/>
        <item x="4"/>
        <item x="3"/>
        <item x="5"/>
        <item x="1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Delivery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AB2B0-8468-4CEF-9C50-E1C7EC96FF9D}" name="PivotTable16" cacheId="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D3:E7" firstHeaderRow="1" firstDataRow="1" firstDataCol="1"/>
  <pivotFields count="2">
    <pivotField axis="axisRow" compact="0" outline="0" showAll="0" defaultSubtotal="0">
      <items count="4"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Delay_Min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FC357-E468-4402-AF95-5D23F38BDE34}" name="PivotTable5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E3:F10" firstHeaderRow="1" firstDataRow="1" firstDataCol="1"/>
  <pivotFields count="2">
    <pivotField axis="axisRow" compact="0" outline="0" showAll="0" defaultSubtotal="0">
      <items count="7">
        <item x="2"/>
        <item x="0"/>
        <item x="4"/>
        <item x="3"/>
        <item x="5"/>
        <item x="1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Fuel_per_km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1"/>
  <sheetViews>
    <sheetView workbookViewId="0">
      <selection activeCell="O2" sqref="O2"/>
    </sheetView>
  </sheetViews>
  <sheetFormatPr defaultRowHeight="15" x14ac:dyDescent="0.25"/>
  <cols>
    <col min="1" max="1" width="11.28515625" bestFit="1" customWidth="1"/>
    <col min="2" max="2" width="17.7109375" bestFit="1" customWidth="1"/>
    <col min="3" max="3" width="13.28515625" bestFit="1" customWidth="1"/>
    <col min="4" max="4" width="10.5703125" bestFit="1" customWidth="1"/>
    <col min="5" max="5" width="23.5703125" bestFit="1" customWidth="1"/>
    <col min="6" max="6" width="19.85546875" bestFit="1" customWidth="1"/>
    <col min="7" max="7" width="21.140625" bestFit="1" customWidth="1"/>
    <col min="8" max="8" width="12.28515625" bestFit="1" customWidth="1"/>
    <col min="9" max="10" width="15.5703125" bestFit="1" customWidth="1"/>
    <col min="11" max="11" width="16.42578125" bestFit="1" customWidth="1"/>
    <col min="12" max="12" width="18.7109375" bestFit="1" customWidth="1"/>
    <col min="13" max="13" width="17" bestFit="1" customWidth="1"/>
    <col min="14" max="14" width="8.85546875" bestFit="1" customWidth="1"/>
    <col min="15" max="15" width="10.5703125" bestFit="1" customWidth="1"/>
    <col min="16" max="16" width="15" bestFit="1" customWidth="1"/>
    <col min="17" max="17" width="10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1219</v>
      </c>
      <c r="T1" s="3" t="s">
        <v>1220</v>
      </c>
    </row>
    <row r="2" spans="1:20" x14ac:dyDescent="0.25">
      <c r="A2" t="s">
        <v>16</v>
      </c>
      <c r="B2" t="s">
        <v>316</v>
      </c>
      <c r="C2" t="s">
        <v>322</v>
      </c>
      <c r="D2" t="s">
        <v>326</v>
      </c>
      <c r="E2" t="s">
        <v>333</v>
      </c>
      <c r="F2" t="s">
        <v>348</v>
      </c>
      <c r="G2" t="s">
        <v>355</v>
      </c>
      <c r="H2">
        <v>220.3</v>
      </c>
      <c r="I2" t="s">
        <v>620</v>
      </c>
      <c r="J2" t="s">
        <v>919</v>
      </c>
      <c r="K2">
        <v>25.27</v>
      </c>
      <c r="L2">
        <v>66</v>
      </c>
      <c r="M2">
        <v>46</v>
      </c>
      <c r="N2" t="s">
        <v>1213</v>
      </c>
      <c r="O2">
        <v>5</v>
      </c>
      <c r="P2" t="s">
        <v>1217</v>
      </c>
      <c r="Q2" s="2">
        <f>K2*277</f>
        <v>6999.79</v>
      </c>
      <c r="T2" s="2">
        <f>K2/H2</f>
        <v>0.11470721743077621</v>
      </c>
    </row>
    <row r="3" spans="1:20" x14ac:dyDescent="0.25">
      <c r="A3" t="s">
        <v>17</v>
      </c>
      <c r="B3" t="s">
        <v>317</v>
      </c>
      <c r="C3" t="s">
        <v>323</v>
      </c>
      <c r="D3" t="s">
        <v>327</v>
      </c>
      <c r="E3" t="s">
        <v>334</v>
      </c>
      <c r="F3" t="s">
        <v>349</v>
      </c>
      <c r="G3" t="s">
        <v>356</v>
      </c>
      <c r="H3">
        <v>102</v>
      </c>
      <c r="I3" t="s">
        <v>621</v>
      </c>
      <c r="J3" t="s">
        <v>920</v>
      </c>
      <c r="K3">
        <v>13.68</v>
      </c>
      <c r="L3">
        <v>56</v>
      </c>
      <c r="M3">
        <v>57</v>
      </c>
      <c r="N3" t="s">
        <v>1214</v>
      </c>
      <c r="O3">
        <v>20</v>
      </c>
      <c r="P3" t="s">
        <v>1217</v>
      </c>
      <c r="Q3" s="2">
        <f t="shared" ref="Q3:Q66" si="0">K3*277</f>
        <v>3789.36</v>
      </c>
      <c r="T3" s="2">
        <f t="shared" ref="T3:T66" si="1">K3/H3</f>
        <v>0.13411764705882354</v>
      </c>
    </row>
    <row r="4" spans="1:20" x14ac:dyDescent="0.25">
      <c r="A4" t="s">
        <v>18</v>
      </c>
      <c r="B4" t="s">
        <v>318</v>
      </c>
      <c r="C4" t="s">
        <v>322</v>
      </c>
      <c r="D4" t="s">
        <v>328</v>
      </c>
      <c r="E4" t="s">
        <v>335</v>
      </c>
      <c r="F4" t="s">
        <v>350</v>
      </c>
      <c r="G4" t="s">
        <v>357</v>
      </c>
      <c r="H4">
        <v>81.7</v>
      </c>
      <c r="I4" t="s">
        <v>622</v>
      </c>
      <c r="J4" t="s">
        <v>921</v>
      </c>
      <c r="K4">
        <v>9.8000000000000007</v>
      </c>
      <c r="L4">
        <v>105</v>
      </c>
      <c r="M4">
        <v>46.7</v>
      </c>
      <c r="N4" t="s">
        <v>1214</v>
      </c>
      <c r="O4">
        <v>15</v>
      </c>
      <c r="P4" t="s">
        <v>1217</v>
      </c>
      <c r="Q4" s="2">
        <f t="shared" si="0"/>
        <v>2714.6000000000004</v>
      </c>
      <c r="T4" s="2">
        <f t="shared" si="1"/>
        <v>0.11995104039167687</v>
      </c>
    </row>
    <row r="5" spans="1:20" x14ac:dyDescent="0.25">
      <c r="A5" t="s">
        <v>19</v>
      </c>
      <c r="B5" t="s">
        <v>319</v>
      </c>
      <c r="C5" t="s">
        <v>324</v>
      </c>
      <c r="D5" t="s">
        <v>326</v>
      </c>
      <c r="E5" t="s">
        <v>336</v>
      </c>
      <c r="F5" t="s">
        <v>351</v>
      </c>
      <c r="G5" t="s">
        <v>358</v>
      </c>
      <c r="H5">
        <v>30.3</v>
      </c>
      <c r="I5" t="s">
        <v>623</v>
      </c>
      <c r="J5" t="s">
        <v>922</v>
      </c>
      <c r="K5">
        <v>4.83</v>
      </c>
      <c r="L5">
        <v>214</v>
      </c>
      <c r="M5">
        <v>8.5</v>
      </c>
      <c r="N5" t="s">
        <v>1214</v>
      </c>
      <c r="O5">
        <v>5</v>
      </c>
      <c r="P5" t="s">
        <v>1217</v>
      </c>
      <c r="Q5" s="2">
        <f t="shared" si="0"/>
        <v>1337.91</v>
      </c>
      <c r="T5" s="2">
        <f t="shared" si="1"/>
        <v>0.15940594059405941</v>
      </c>
    </row>
    <row r="6" spans="1:20" x14ac:dyDescent="0.25">
      <c r="A6" t="s">
        <v>20</v>
      </c>
      <c r="B6" t="s">
        <v>316</v>
      </c>
      <c r="C6" t="s">
        <v>322</v>
      </c>
      <c r="D6" t="s">
        <v>329</v>
      </c>
      <c r="E6" t="s">
        <v>337</v>
      </c>
      <c r="F6" t="s">
        <v>348</v>
      </c>
      <c r="G6" t="s">
        <v>359</v>
      </c>
      <c r="H6">
        <v>93</v>
      </c>
      <c r="I6" t="s">
        <v>624</v>
      </c>
      <c r="J6" t="s">
        <v>923</v>
      </c>
      <c r="K6">
        <v>13.16</v>
      </c>
      <c r="L6">
        <v>165</v>
      </c>
      <c r="M6">
        <v>33.799999999999997</v>
      </c>
      <c r="N6" t="s">
        <v>1215</v>
      </c>
      <c r="O6">
        <v>15</v>
      </c>
      <c r="P6" t="s">
        <v>1217</v>
      </c>
      <c r="Q6" s="2">
        <f t="shared" si="0"/>
        <v>3645.32</v>
      </c>
      <c r="T6" s="2">
        <f t="shared" si="1"/>
        <v>0.14150537634408603</v>
      </c>
    </row>
    <row r="7" spans="1:20" x14ac:dyDescent="0.25">
      <c r="A7" t="s">
        <v>21</v>
      </c>
      <c r="B7" t="s">
        <v>320</v>
      </c>
      <c r="C7" t="s">
        <v>324</v>
      </c>
      <c r="D7" t="s">
        <v>328</v>
      </c>
      <c r="E7" t="s">
        <v>338</v>
      </c>
      <c r="F7" t="s">
        <v>352</v>
      </c>
      <c r="G7" t="s">
        <v>360</v>
      </c>
      <c r="H7">
        <v>19.100000000000001</v>
      </c>
      <c r="I7" t="s">
        <v>625</v>
      </c>
      <c r="J7" t="s">
        <v>924</v>
      </c>
      <c r="K7">
        <v>3.17</v>
      </c>
      <c r="L7">
        <v>191</v>
      </c>
      <c r="M7">
        <v>6</v>
      </c>
      <c r="N7" t="s">
        <v>1213</v>
      </c>
      <c r="O7">
        <v>10</v>
      </c>
      <c r="P7" t="s">
        <v>1217</v>
      </c>
      <c r="Q7" s="2">
        <f t="shared" si="0"/>
        <v>878.09</v>
      </c>
      <c r="T7" s="2">
        <f t="shared" si="1"/>
        <v>0.16596858638743453</v>
      </c>
    </row>
    <row r="8" spans="1:20" x14ac:dyDescent="0.25">
      <c r="A8" t="s">
        <v>22</v>
      </c>
      <c r="B8" t="s">
        <v>318</v>
      </c>
      <c r="C8" t="s">
        <v>323</v>
      </c>
      <c r="D8" t="s">
        <v>326</v>
      </c>
      <c r="E8" t="s">
        <v>338</v>
      </c>
      <c r="F8" t="s">
        <v>350</v>
      </c>
      <c r="G8" t="s">
        <v>361</v>
      </c>
      <c r="H8">
        <v>229</v>
      </c>
      <c r="I8" t="s">
        <v>626</v>
      </c>
      <c r="J8" t="s">
        <v>925</v>
      </c>
      <c r="K8">
        <v>31.9</v>
      </c>
      <c r="L8">
        <v>209</v>
      </c>
      <c r="M8">
        <v>65.7</v>
      </c>
      <c r="N8" t="s">
        <v>1213</v>
      </c>
      <c r="O8">
        <v>15</v>
      </c>
      <c r="P8" t="s">
        <v>1217</v>
      </c>
      <c r="Q8" s="2">
        <f t="shared" si="0"/>
        <v>8836.2999999999993</v>
      </c>
      <c r="T8" s="2">
        <f t="shared" si="1"/>
        <v>0.13930131004366811</v>
      </c>
    </row>
    <row r="9" spans="1:20" x14ac:dyDescent="0.25">
      <c r="A9" t="s">
        <v>23</v>
      </c>
      <c r="B9" t="s">
        <v>320</v>
      </c>
      <c r="C9" t="s">
        <v>324</v>
      </c>
      <c r="D9" t="s">
        <v>330</v>
      </c>
      <c r="E9" t="s">
        <v>339</v>
      </c>
      <c r="F9" t="s">
        <v>348</v>
      </c>
      <c r="G9" t="s">
        <v>362</v>
      </c>
      <c r="H9">
        <v>90</v>
      </c>
      <c r="I9" t="s">
        <v>627</v>
      </c>
      <c r="J9" t="s">
        <v>926</v>
      </c>
      <c r="K9">
        <v>11.77</v>
      </c>
      <c r="L9">
        <v>236</v>
      </c>
      <c r="M9">
        <v>22.9</v>
      </c>
      <c r="N9" t="s">
        <v>1213</v>
      </c>
      <c r="O9">
        <v>0</v>
      </c>
      <c r="P9" t="s">
        <v>1218</v>
      </c>
      <c r="Q9" s="2">
        <f t="shared" si="0"/>
        <v>3260.29</v>
      </c>
      <c r="T9" s="2">
        <f t="shared" si="1"/>
        <v>0.13077777777777777</v>
      </c>
    </row>
    <row r="10" spans="1:20" x14ac:dyDescent="0.25">
      <c r="A10" t="s">
        <v>24</v>
      </c>
      <c r="B10" t="s">
        <v>316</v>
      </c>
      <c r="C10" t="s">
        <v>323</v>
      </c>
      <c r="D10" t="s">
        <v>329</v>
      </c>
      <c r="E10" t="s">
        <v>340</v>
      </c>
      <c r="F10" t="s">
        <v>353</v>
      </c>
      <c r="G10" t="s">
        <v>363</v>
      </c>
      <c r="H10">
        <v>145.30000000000001</v>
      </c>
      <c r="I10" t="s">
        <v>628</v>
      </c>
      <c r="J10" t="s">
        <v>927</v>
      </c>
      <c r="K10">
        <v>19.68</v>
      </c>
      <c r="L10">
        <v>184</v>
      </c>
      <c r="M10">
        <v>47.4</v>
      </c>
      <c r="N10" t="s">
        <v>1214</v>
      </c>
      <c r="O10">
        <v>10</v>
      </c>
      <c r="P10" t="s">
        <v>1217</v>
      </c>
      <c r="Q10" s="2">
        <f t="shared" si="0"/>
        <v>5451.36</v>
      </c>
      <c r="T10" s="2">
        <f t="shared" si="1"/>
        <v>0.13544390915347557</v>
      </c>
    </row>
    <row r="11" spans="1:20" x14ac:dyDescent="0.25">
      <c r="A11" t="s">
        <v>25</v>
      </c>
      <c r="B11" t="s">
        <v>317</v>
      </c>
      <c r="C11" t="s">
        <v>324</v>
      </c>
      <c r="D11" t="s">
        <v>330</v>
      </c>
      <c r="E11" t="s">
        <v>341</v>
      </c>
      <c r="F11" t="s">
        <v>353</v>
      </c>
      <c r="G11" t="s">
        <v>364</v>
      </c>
      <c r="H11">
        <v>227.3</v>
      </c>
      <c r="I11" t="s">
        <v>629</v>
      </c>
      <c r="J11" t="s">
        <v>928</v>
      </c>
      <c r="K11">
        <v>29.57</v>
      </c>
      <c r="L11">
        <v>182</v>
      </c>
      <c r="M11">
        <v>74.900000000000006</v>
      </c>
      <c r="N11" t="s">
        <v>1216</v>
      </c>
      <c r="O11">
        <v>25</v>
      </c>
      <c r="P11" t="s">
        <v>1217</v>
      </c>
      <c r="Q11" s="2">
        <f t="shared" si="0"/>
        <v>8190.89</v>
      </c>
      <c r="T11" s="2">
        <f t="shared" si="1"/>
        <v>0.13009238891333039</v>
      </c>
    </row>
    <row r="12" spans="1:20" x14ac:dyDescent="0.25">
      <c r="A12" t="s">
        <v>26</v>
      </c>
      <c r="B12" t="s">
        <v>320</v>
      </c>
      <c r="C12" t="s">
        <v>324</v>
      </c>
      <c r="D12" t="s">
        <v>326</v>
      </c>
      <c r="E12" t="s">
        <v>335</v>
      </c>
      <c r="F12" t="s">
        <v>353</v>
      </c>
      <c r="G12" t="s">
        <v>365</v>
      </c>
      <c r="H12">
        <v>61.4</v>
      </c>
      <c r="I12" t="s">
        <v>630</v>
      </c>
      <c r="J12" t="s">
        <v>915</v>
      </c>
      <c r="K12">
        <v>7.16</v>
      </c>
      <c r="L12">
        <v>147</v>
      </c>
      <c r="M12">
        <v>25.1</v>
      </c>
      <c r="N12" t="s">
        <v>1216</v>
      </c>
      <c r="O12">
        <v>0</v>
      </c>
      <c r="P12" t="s">
        <v>1218</v>
      </c>
      <c r="Q12" s="2">
        <f t="shared" si="0"/>
        <v>1983.32</v>
      </c>
      <c r="T12" s="2">
        <f t="shared" si="1"/>
        <v>0.11661237785016287</v>
      </c>
    </row>
    <row r="13" spans="1:20" x14ac:dyDescent="0.25">
      <c r="A13" t="s">
        <v>27</v>
      </c>
      <c r="B13" t="s">
        <v>317</v>
      </c>
      <c r="C13" t="s">
        <v>323</v>
      </c>
      <c r="D13" t="s">
        <v>328</v>
      </c>
      <c r="E13" t="s">
        <v>342</v>
      </c>
      <c r="F13" t="s">
        <v>354</v>
      </c>
      <c r="G13" t="s">
        <v>366</v>
      </c>
      <c r="H13">
        <v>119</v>
      </c>
      <c r="I13" t="s">
        <v>631</v>
      </c>
      <c r="J13" t="s">
        <v>929</v>
      </c>
      <c r="K13">
        <v>15.54</v>
      </c>
      <c r="L13">
        <v>116</v>
      </c>
      <c r="M13">
        <v>61.6</v>
      </c>
      <c r="N13" t="s">
        <v>1214</v>
      </c>
      <c r="O13">
        <v>20</v>
      </c>
      <c r="P13" t="s">
        <v>1217</v>
      </c>
      <c r="Q13" s="2">
        <f t="shared" si="0"/>
        <v>4304.58</v>
      </c>
      <c r="T13" s="2">
        <f t="shared" si="1"/>
        <v>0.13058823529411764</v>
      </c>
    </row>
    <row r="14" spans="1:20" x14ac:dyDescent="0.25">
      <c r="A14" t="s">
        <v>28</v>
      </c>
      <c r="B14" t="s">
        <v>321</v>
      </c>
      <c r="C14" t="s">
        <v>323</v>
      </c>
      <c r="D14" t="s">
        <v>328</v>
      </c>
      <c r="E14" t="s">
        <v>343</v>
      </c>
      <c r="F14" t="s">
        <v>350</v>
      </c>
      <c r="G14" t="s">
        <v>367</v>
      </c>
      <c r="H14">
        <v>145.5</v>
      </c>
      <c r="I14" t="s">
        <v>632</v>
      </c>
      <c r="J14" t="s">
        <v>875</v>
      </c>
      <c r="K14">
        <v>19.329999999999998</v>
      </c>
      <c r="L14">
        <v>147</v>
      </c>
      <c r="M14">
        <v>59.4</v>
      </c>
      <c r="N14" t="s">
        <v>1215</v>
      </c>
      <c r="O14">
        <v>10</v>
      </c>
      <c r="P14" t="s">
        <v>1217</v>
      </c>
      <c r="Q14" s="2">
        <f t="shared" si="0"/>
        <v>5354.41</v>
      </c>
      <c r="T14" s="2">
        <f t="shared" si="1"/>
        <v>0.13285223367697593</v>
      </c>
    </row>
    <row r="15" spans="1:20" x14ac:dyDescent="0.25">
      <c r="A15" t="s">
        <v>29</v>
      </c>
      <c r="B15" t="s">
        <v>317</v>
      </c>
      <c r="C15" t="s">
        <v>324</v>
      </c>
      <c r="D15" t="s">
        <v>331</v>
      </c>
      <c r="E15" t="s">
        <v>340</v>
      </c>
      <c r="F15" t="s">
        <v>351</v>
      </c>
      <c r="G15" t="s">
        <v>368</v>
      </c>
      <c r="H15">
        <v>28.6</v>
      </c>
      <c r="I15" t="s">
        <v>633</v>
      </c>
      <c r="J15" t="s">
        <v>930</v>
      </c>
      <c r="K15">
        <v>3.72</v>
      </c>
      <c r="L15">
        <v>82</v>
      </c>
      <c r="M15">
        <v>20.9</v>
      </c>
      <c r="N15" t="s">
        <v>1213</v>
      </c>
      <c r="O15">
        <v>20</v>
      </c>
      <c r="P15" t="s">
        <v>1217</v>
      </c>
      <c r="Q15" s="2">
        <f t="shared" si="0"/>
        <v>1030.44</v>
      </c>
      <c r="T15" s="2">
        <f t="shared" si="1"/>
        <v>0.13006993006993006</v>
      </c>
    </row>
    <row r="16" spans="1:20" x14ac:dyDescent="0.25">
      <c r="A16" t="s">
        <v>30</v>
      </c>
      <c r="B16" t="s">
        <v>317</v>
      </c>
      <c r="C16" t="s">
        <v>324</v>
      </c>
      <c r="D16" t="s">
        <v>326</v>
      </c>
      <c r="E16" t="s">
        <v>336</v>
      </c>
      <c r="F16" t="s">
        <v>352</v>
      </c>
      <c r="G16" t="s">
        <v>369</v>
      </c>
      <c r="H16">
        <v>107.4</v>
      </c>
      <c r="I16" t="s">
        <v>634</v>
      </c>
      <c r="J16" t="s">
        <v>931</v>
      </c>
      <c r="K16">
        <v>14.26</v>
      </c>
      <c r="L16">
        <v>137</v>
      </c>
      <c r="M16">
        <v>47</v>
      </c>
      <c r="N16" t="s">
        <v>1215</v>
      </c>
      <c r="O16">
        <v>20</v>
      </c>
      <c r="P16" t="s">
        <v>1217</v>
      </c>
      <c r="Q16" s="2">
        <f t="shared" si="0"/>
        <v>3950.02</v>
      </c>
      <c r="T16" s="2">
        <f t="shared" si="1"/>
        <v>0.13277467411545624</v>
      </c>
    </row>
    <row r="17" spans="1:20" x14ac:dyDescent="0.25">
      <c r="A17" t="s">
        <v>31</v>
      </c>
      <c r="B17" t="s">
        <v>316</v>
      </c>
      <c r="C17" t="s">
        <v>324</v>
      </c>
      <c r="D17" t="s">
        <v>331</v>
      </c>
      <c r="E17" t="s">
        <v>344</v>
      </c>
      <c r="F17" t="s">
        <v>349</v>
      </c>
      <c r="G17" t="s">
        <v>370</v>
      </c>
      <c r="H17">
        <v>201.6</v>
      </c>
      <c r="I17" t="s">
        <v>635</v>
      </c>
      <c r="J17" t="s">
        <v>932</v>
      </c>
      <c r="K17">
        <v>23.17</v>
      </c>
      <c r="L17">
        <v>193</v>
      </c>
      <c r="M17">
        <v>62.7</v>
      </c>
      <c r="N17" t="s">
        <v>1216</v>
      </c>
      <c r="O17">
        <v>0</v>
      </c>
      <c r="P17" t="s">
        <v>1218</v>
      </c>
      <c r="Q17" s="2">
        <f t="shared" si="0"/>
        <v>6418.09</v>
      </c>
      <c r="T17" s="2">
        <f t="shared" si="1"/>
        <v>0.11493055555555556</v>
      </c>
    </row>
    <row r="18" spans="1:20" x14ac:dyDescent="0.25">
      <c r="A18" t="s">
        <v>32</v>
      </c>
      <c r="B18" t="s">
        <v>317</v>
      </c>
      <c r="C18" t="s">
        <v>322</v>
      </c>
      <c r="D18" t="s">
        <v>328</v>
      </c>
      <c r="E18" t="s">
        <v>343</v>
      </c>
      <c r="F18" t="s">
        <v>352</v>
      </c>
      <c r="G18" t="s">
        <v>371</v>
      </c>
      <c r="H18">
        <v>143</v>
      </c>
      <c r="I18" t="s">
        <v>636</v>
      </c>
      <c r="J18" t="s">
        <v>933</v>
      </c>
      <c r="K18">
        <v>18.05</v>
      </c>
      <c r="L18">
        <v>51</v>
      </c>
      <c r="M18">
        <v>93</v>
      </c>
      <c r="N18" t="s">
        <v>1215</v>
      </c>
      <c r="O18">
        <v>25</v>
      </c>
      <c r="P18" t="s">
        <v>1217</v>
      </c>
      <c r="Q18" s="2">
        <f t="shared" si="0"/>
        <v>4999.8500000000004</v>
      </c>
      <c r="T18" s="2">
        <f t="shared" si="1"/>
        <v>0.12622377622377623</v>
      </c>
    </row>
    <row r="19" spans="1:20" x14ac:dyDescent="0.25">
      <c r="A19" t="s">
        <v>33</v>
      </c>
      <c r="B19" t="s">
        <v>320</v>
      </c>
      <c r="C19" t="s">
        <v>324</v>
      </c>
      <c r="D19" t="s">
        <v>330</v>
      </c>
      <c r="E19" t="s">
        <v>342</v>
      </c>
      <c r="F19" t="s">
        <v>351</v>
      </c>
      <c r="G19" t="s">
        <v>372</v>
      </c>
      <c r="H19">
        <v>130.1</v>
      </c>
      <c r="I19" t="s">
        <v>637</v>
      </c>
      <c r="J19" t="s">
        <v>934</v>
      </c>
      <c r="K19">
        <v>21.39</v>
      </c>
      <c r="L19">
        <v>159</v>
      </c>
      <c r="M19">
        <v>49.1</v>
      </c>
      <c r="N19" t="s">
        <v>1215</v>
      </c>
      <c r="O19">
        <v>20</v>
      </c>
      <c r="P19" t="s">
        <v>1217</v>
      </c>
      <c r="Q19" s="2">
        <f t="shared" si="0"/>
        <v>5925.03</v>
      </c>
      <c r="T19" s="2">
        <f t="shared" si="1"/>
        <v>0.16441199077632593</v>
      </c>
    </row>
    <row r="20" spans="1:20" x14ac:dyDescent="0.25">
      <c r="A20" t="s">
        <v>34</v>
      </c>
      <c r="B20" t="s">
        <v>318</v>
      </c>
      <c r="C20" t="s">
        <v>325</v>
      </c>
      <c r="D20" t="s">
        <v>331</v>
      </c>
      <c r="E20" t="s">
        <v>343</v>
      </c>
      <c r="F20" t="s">
        <v>348</v>
      </c>
      <c r="G20" t="s">
        <v>373</v>
      </c>
      <c r="H20">
        <v>237.1</v>
      </c>
      <c r="I20" t="s">
        <v>638</v>
      </c>
      <c r="J20" t="s">
        <v>935</v>
      </c>
      <c r="K20">
        <v>36.630000000000003</v>
      </c>
      <c r="L20">
        <v>170</v>
      </c>
      <c r="M20">
        <v>83.7</v>
      </c>
      <c r="N20" t="s">
        <v>1215</v>
      </c>
      <c r="O20">
        <v>15</v>
      </c>
      <c r="P20" t="s">
        <v>1217</v>
      </c>
      <c r="Q20" s="2">
        <f t="shared" si="0"/>
        <v>10146.51</v>
      </c>
      <c r="T20" s="2">
        <f t="shared" si="1"/>
        <v>0.1544917756221004</v>
      </c>
    </row>
    <row r="21" spans="1:20" x14ac:dyDescent="0.25">
      <c r="A21" t="s">
        <v>35</v>
      </c>
      <c r="B21" t="s">
        <v>316</v>
      </c>
      <c r="C21" t="s">
        <v>323</v>
      </c>
      <c r="D21" t="s">
        <v>326</v>
      </c>
      <c r="E21" t="s">
        <v>342</v>
      </c>
      <c r="F21" t="s">
        <v>353</v>
      </c>
      <c r="G21" t="s">
        <v>374</v>
      </c>
      <c r="H21">
        <v>21.8</v>
      </c>
      <c r="I21" t="s">
        <v>639</v>
      </c>
      <c r="J21" t="s">
        <v>936</v>
      </c>
      <c r="K21">
        <v>2.77</v>
      </c>
      <c r="L21">
        <v>85</v>
      </c>
      <c r="M21">
        <v>15.4</v>
      </c>
      <c r="N21" t="s">
        <v>1213</v>
      </c>
      <c r="O21">
        <v>20</v>
      </c>
      <c r="P21" t="s">
        <v>1217</v>
      </c>
      <c r="Q21" s="2">
        <f t="shared" si="0"/>
        <v>767.29</v>
      </c>
      <c r="T21" s="2">
        <f t="shared" si="1"/>
        <v>0.12706422018348623</v>
      </c>
    </row>
    <row r="22" spans="1:20" x14ac:dyDescent="0.25">
      <c r="A22" t="s">
        <v>36</v>
      </c>
      <c r="B22" t="s">
        <v>321</v>
      </c>
      <c r="C22" t="s">
        <v>324</v>
      </c>
      <c r="D22" t="s">
        <v>332</v>
      </c>
      <c r="E22" t="s">
        <v>334</v>
      </c>
      <c r="F22" t="s">
        <v>354</v>
      </c>
      <c r="G22" t="s">
        <v>375</v>
      </c>
      <c r="H22">
        <v>92.9</v>
      </c>
      <c r="I22" t="s">
        <v>640</v>
      </c>
      <c r="J22" t="s">
        <v>937</v>
      </c>
      <c r="K22">
        <v>12.31</v>
      </c>
      <c r="L22">
        <v>125</v>
      </c>
      <c r="M22">
        <v>44.6</v>
      </c>
      <c r="N22" t="s">
        <v>1213</v>
      </c>
      <c r="O22">
        <v>10</v>
      </c>
      <c r="P22" t="s">
        <v>1217</v>
      </c>
      <c r="Q22" s="2">
        <f t="shared" si="0"/>
        <v>3409.8700000000003</v>
      </c>
      <c r="T22" s="2">
        <f t="shared" si="1"/>
        <v>0.13250807319698601</v>
      </c>
    </row>
    <row r="23" spans="1:20" x14ac:dyDescent="0.25">
      <c r="A23" t="s">
        <v>37</v>
      </c>
      <c r="B23" t="s">
        <v>316</v>
      </c>
      <c r="C23" t="s">
        <v>322</v>
      </c>
      <c r="D23" t="s">
        <v>327</v>
      </c>
      <c r="E23" t="s">
        <v>335</v>
      </c>
      <c r="F23" t="s">
        <v>353</v>
      </c>
      <c r="G23" t="s">
        <v>376</v>
      </c>
      <c r="H23">
        <v>148.69999999999999</v>
      </c>
      <c r="I23" t="s">
        <v>641</v>
      </c>
      <c r="J23" t="s">
        <v>938</v>
      </c>
      <c r="K23">
        <v>16.61</v>
      </c>
      <c r="L23">
        <v>139</v>
      </c>
      <c r="M23">
        <v>64.2</v>
      </c>
      <c r="N23" t="s">
        <v>1213</v>
      </c>
      <c r="O23">
        <v>25</v>
      </c>
      <c r="P23" t="s">
        <v>1217</v>
      </c>
      <c r="Q23" s="2">
        <f t="shared" si="0"/>
        <v>4600.97</v>
      </c>
      <c r="T23" s="2">
        <f t="shared" si="1"/>
        <v>0.11170141223940822</v>
      </c>
    </row>
    <row r="24" spans="1:20" x14ac:dyDescent="0.25">
      <c r="A24" t="s">
        <v>38</v>
      </c>
      <c r="B24" t="s">
        <v>318</v>
      </c>
      <c r="C24" t="s">
        <v>322</v>
      </c>
      <c r="D24" t="s">
        <v>332</v>
      </c>
      <c r="E24" t="s">
        <v>335</v>
      </c>
      <c r="F24" t="s">
        <v>349</v>
      </c>
      <c r="G24" t="s">
        <v>377</v>
      </c>
      <c r="H24">
        <v>138.30000000000001</v>
      </c>
      <c r="I24" t="s">
        <v>642</v>
      </c>
      <c r="J24" t="s">
        <v>939</v>
      </c>
      <c r="K24">
        <v>16.86</v>
      </c>
      <c r="L24">
        <v>92</v>
      </c>
      <c r="M24">
        <v>90.2</v>
      </c>
      <c r="N24" t="s">
        <v>1213</v>
      </c>
      <c r="O24">
        <v>20</v>
      </c>
      <c r="P24" t="s">
        <v>1217</v>
      </c>
      <c r="Q24" s="2">
        <f t="shared" si="0"/>
        <v>4670.22</v>
      </c>
      <c r="T24" s="2">
        <f t="shared" si="1"/>
        <v>0.12190889370932753</v>
      </c>
    </row>
    <row r="25" spans="1:20" x14ac:dyDescent="0.25">
      <c r="A25" t="s">
        <v>39</v>
      </c>
      <c r="B25" t="s">
        <v>319</v>
      </c>
      <c r="C25" t="s">
        <v>323</v>
      </c>
      <c r="D25" t="s">
        <v>332</v>
      </c>
      <c r="E25" t="s">
        <v>339</v>
      </c>
      <c r="F25" t="s">
        <v>352</v>
      </c>
      <c r="G25" t="s">
        <v>378</v>
      </c>
      <c r="H25">
        <v>159</v>
      </c>
      <c r="I25" t="s">
        <v>643</v>
      </c>
      <c r="J25" t="s">
        <v>940</v>
      </c>
      <c r="K25">
        <v>21.86</v>
      </c>
      <c r="L25">
        <v>70</v>
      </c>
      <c r="M25">
        <v>52</v>
      </c>
      <c r="N25" t="s">
        <v>1216</v>
      </c>
      <c r="O25">
        <v>15</v>
      </c>
      <c r="P25" t="s">
        <v>1217</v>
      </c>
      <c r="Q25" s="2">
        <f t="shared" si="0"/>
        <v>6055.22</v>
      </c>
      <c r="T25" s="2">
        <f t="shared" si="1"/>
        <v>0.13748427672955973</v>
      </c>
    </row>
    <row r="26" spans="1:20" x14ac:dyDescent="0.25">
      <c r="A26" t="s">
        <v>40</v>
      </c>
      <c r="B26" t="s">
        <v>317</v>
      </c>
      <c r="C26" t="s">
        <v>322</v>
      </c>
      <c r="D26" t="s">
        <v>330</v>
      </c>
      <c r="E26" t="s">
        <v>345</v>
      </c>
      <c r="F26" t="s">
        <v>354</v>
      </c>
      <c r="G26" t="s">
        <v>379</v>
      </c>
      <c r="H26">
        <v>87.3</v>
      </c>
      <c r="I26" t="s">
        <v>644</v>
      </c>
      <c r="J26" t="s">
        <v>941</v>
      </c>
      <c r="K26">
        <v>10.029999999999999</v>
      </c>
      <c r="L26">
        <v>207</v>
      </c>
      <c r="M26">
        <v>25.3</v>
      </c>
      <c r="N26" t="s">
        <v>1215</v>
      </c>
      <c r="O26">
        <v>10</v>
      </c>
      <c r="P26" t="s">
        <v>1217</v>
      </c>
      <c r="Q26" s="2">
        <f t="shared" si="0"/>
        <v>2778.31</v>
      </c>
      <c r="T26" s="2">
        <f t="shared" si="1"/>
        <v>0.11489117983963344</v>
      </c>
    </row>
    <row r="27" spans="1:20" x14ac:dyDescent="0.25">
      <c r="A27" t="s">
        <v>41</v>
      </c>
      <c r="B27" t="s">
        <v>317</v>
      </c>
      <c r="C27" t="s">
        <v>323</v>
      </c>
      <c r="D27" t="s">
        <v>330</v>
      </c>
      <c r="E27" t="s">
        <v>337</v>
      </c>
      <c r="F27" t="s">
        <v>353</v>
      </c>
      <c r="G27" t="s">
        <v>380</v>
      </c>
      <c r="H27">
        <v>242.4</v>
      </c>
      <c r="I27" t="s">
        <v>645</v>
      </c>
      <c r="J27" t="s">
        <v>942</v>
      </c>
      <c r="K27">
        <v>38.44</v>
      </c>
      <c r="L27">
        <v>197</v>
      </c>
      <c r="M27">
        <v>73.8</v>
      </c>
      <c r="N27" t="s">
        <v>1213</v>
      </c>
      <c r="O27">
        <v>5</v>
      </c>
      <c r="P27" t="s">
        <v>1217</v>
      </c>
      <c r="Q27" s="2">
        <f t="shared" si="0"/>
        <v>10647.88</v>
      </c>
      <c r="T27" s="2">
        <f t="shared" si="1"/>
        <v>0.15858085808580857</v>
      </c>
    </row>
    <row r="28" spans="1:20" x14ac:dyDescent="0.25">
      <c r="A28" t="s">
        <v>42</v>
      </c>
      <c r="B28" t="s">
        <v>318</v>
      </c>
      <c r="C28" t="s">
        <v>323</v>
      </c>
      <c r="D28" t="s">
        <v>328</v>
      </c>
      <c r="E28" t="s">
        <v>340</v>
      </c>
      <c r="F28" t="s">
        <v>349</v>
      </c>
      <c r="G28" t="s">
        <v>381</v>
      </c>
      <c r="H28">
        <v>15.6</v>
      </c>
      <c r="I28" t="s">
        <v>646</v>
      </c>
      <c r="J28" t="s">
        <v>943</v>
      </c>
      <c r="K28">
        <v>2.4700000000000002</v>
      </c>
      <c r="L28">
        <v>56</v>
      </c>
      <c r="M28">
        <v>16.7</v>
      </c>
      <c r="N28" t="s">
        <v>1215</v>
      </c>
      <c r="O28">
        <v>15</v>
      </c>
      <c r="P28" t="s">
        <v>1217</v>
      </c>
      <c r="Q28" s="2">
        <f t="shared" si="0"/>
        <v>684.19</v>
      </c>
      <c r="T28" s="2">
        <f t="shared" si="1"/>
        <v>0.15833333333333335</v>
      </c>
    </row>
    <row r="29" spans="1:20" x14ac:dyDescent="0.25">
      <c r="A29" t="s">
        <v>43</v>
      </c>
      <c r="B29" t="s">
        <v>316</v>
      </c>
      <c r="C29" t="s">
        <v>325</v>
      </c>
      <c r="D29" t="s">
        <v>329</v>
      </c>
      <c r="E29" t="s">
        <v>335</v>
      </c>
      <c r="F29" t="s">
        <v>350</v>
      </c>
      <c r="G29" t="s">
        <v>382</v>
      </c>
      <c r="H29">
        <v>234.6</v>
      </c>
      <c r="I29" t="s">
        <v>647</v>
      </c>
      <c r="J29" t="s">
        <v>944</v>
      </c>
      <c r="K29">
        <v>38.76</v>
      </c>
      <c r="L29">
        <v>109</v>
      </c>
      <c r="M29">
        <v>66</v>
      </c>
      <c r="N29" t="s">
        <v>1214</v>
      </c>
      <c r="O29">
        <v>20</v>
      </c>
      <c r="P29" t="s">
        <v>1217</v>
      </c>
      <c r="Q29" s="2">
        <f t="shared" si="0"/>
        <v>10736.519999999999</v>
      </c>
      <c r="T29" s="2">
        <f t="shared" si="1"/>
        <v>0.16521739130434782</v>
      </c>
    </row>
    <row r="30" spans="1:20" x14ac:dyDescent="0.25">
      <c r="A30" t="s">
        <v>44</v>
      </c>
      <c r="B30" t="s">
        <v>318</v>
      </c>
      <c r="C30" t="s">
        <v>322</v>
      </c>
      <c r="D30" t="s">
        <v>328</v>
      </c>
      <c r="E30" t="s">
        <v>339</v>
      </c>
      <c r="F30" t="s">
        <v>352</v>
      </c>
      <c r="G30" t="s">
        <v>383</v>
      </c>
      <c r="H30">
        <v>36.799999999999997</v>
      </c>
      <c r="I30" t="s">
        <v>648</v>
      </c>
      <c r="J30" t="s">
        <v>945</v>
      </c>
      <c r="K30">
        <v>4.22</v>
      </c>
      <c r="L30">
        <v>87</v>
      </c>
      <c r="M30">
        <v>25.4</v>
      </c>
      <c r="N30" t="s">
        <v>1214</v>
      </c>
      <c r="O30">
        <v>15</v>
      </c>
      <c r="P30" t="s">
        <v>1217</v>
      </c>
      <c r="Q30" s="2">
        <f t="shared" si="0"/>
        <v>1168.9399999999998</v>
      </c>
      <c r="T30" s="2">
        <f t="shared" si="1"/>
        <v>0.11467391304347826</v>
      </c>
    </row>
    <row r="31" spans="1:20" x14ac:dyDescent="0.25">
      <c r="A31" t="s">
        <v>45</v>
      </c>
      <c r="B31" t="s">
        <v>317</v>
      </c>
      <c r="C31" t="s">
        <v>323</v>
      </c>
      <c r="D31" t="s">
        <v>331</v>
      </c>
      <c r="E31" t="s">
        <v>336</v>
      </c>
      <c r="F31" t="s">
        <v>349</v>
      </c>
      <c r="G31" t="s">
        <v>384</v>
      </c>
      <c r="H31">
        <v>93.8</v>
      </c>
      <c r="I31" t="s">
        <v>649</v>
      </c>
      <c r="J31" t="s">
        <v>946</v>
      </c>
      <c r="K31">
        <v>13.16</v>
      </c>
      <c r="L31">
        <v>239</v>
      </c>
      <c r="M31">
        <v>23.5</v>
      </c>
      <c r="N31" t="s">
        <v>1215</v>
      </c>
      <c r="O31">
        <v>25</v>
      </c>
      <c r="P31" t="s">
        <v>1217</v>
      </c>
      <c r="Q31" s="2">
        <f t="shared" si="0"/>
        <v>3645.32</v>
      </c>
      <c r="T31" s="2">
        <f t="shared" si="1"/>
        <v>0.14029850746268657</v>
      </c>
    </row>
    <row r="32" spans="1:20" x14ac:dyDescent="0.25">
      <c r="A32" t="s">
        <v>46</v>
      </c>
      <c r="B32" t="s">
        <v>320</v>
      </c>
      <c r="C32" t="s">
        <v>323</v>
      </c>
      <c r="D32" t="s">
        <v>326</v>
      </c>
      <c r="E32" t="s">
        <v>339</v>
      </c>
      <c r="F32" t="s">
        <v>349</v>
      </c>
      <c r="G32" t="s">
        <v>378</v>
      </c>
      <c r="H32">
        <v>33.299999999999997</v>
      </c>
      <c r="I32" t="s">
        <v>650</v>
      </c>
      <c r="J32" t="s">
        <v>947</v>
      </c>
      <c r="K32">
        <v>4.84</v>
      </c>
      <c r="L32">
        <v>68</v>
      </c>
      <c r="M32">
        <v>29.4</v>
      </c>
      <c r="N32" t="s">
        <v>1214</v>
      </c>
      <c r="O32">
        <v>10</v>
      </c>
      <c r="P32" t="s">
        <v>1217</v>
      </c>
      <c r="Q32" s="2">
        <f t="shared" si="0"/>
        <v>1340.68</v>
      </c>
      <c r="T32" s="2">
        <f t="shared" si="1"/>
        <v>0.14534534534534535</v>
      </c>
    </row>
    <row r="33" spans="1:20" x14ac:dyDescent="0.25">
      <c r="A33" t="s">
        <v>47</v>
      </c>
      <c r="B33" t="s">
        <v>319</v>
      </c>
      <c r="C33" t="s">
        <v>322</v>
      </c>
      <c r="D33" t="s">
        <v>329</v>
      </c>
      <c r="E33" t="s">
        <v>333</v>
      </c>
      <c r="F33" t="s">
        <v>352</v>
      </c>
      <c r="G33" t="s">
        <v>385</v>
      </c>
      <c r="H33">
        <v>209.4</v>
      </c>
      <c r="I33" t="s">
        <v>651</v>
      </c>
      <c r="J33" t="s">
        <v>948</v>
      </c>
      <c r="K33">
        <v>26.63</v>
      </c>
      <c r="L33">
        <v>118</v>
      </c>
      <c r="M33">
        <v>81</v>
      </c>
      <c r="N33" t="s">
        <v>1214</v>
      </c>
      <c r="O33">
        <v>20</v>
      </c>
      <c r="P33" t="s">
        <v>1217</v>
      </c>
      <c r="Q33" s="2">
        <f t="shared" si="0"/>
        <v>7376.5099999999993</v>
      </c>
      <c r="T33" s="2">
        <f t="shared" si="1"/>
        <v>0.12717287488061127</v>
      </c>
    </row>
    <row r="34" spans="1:20" x14ac:dyDescent="0.25">
      <c r="A34" t="s">
        <v>48</v>
      </c>
      <c r="B34" t="s">
        <v>321</v>
      </c>
      <c r="C34" t="s">
        <v>324</v>
      </c>
      <c r="D34" t="s">
        <v>332</v>
      </c>
      <c r="E34" t="s">
        <v>333</v>
      </c>
      <c r="F34" t="s">
        <v>350</v>
      </c>
      <c r="G34" t="s">
        <v>386</v>
      </c>
      <c r="H34">
        <v>124</v>
      </c>
      <c r="I34" t="s">
        <v>652</v>
      </c>
      <c r="J34" t="s">
        <v>949</v>
      </c>
      <c r="K34">
        <v>18.68</v>
      </c>
      <c r="L34">
        <v>156</v>
      </c>
      <c r="M34">
        <v>47.7</v>
      </c>
      <c r="N34" t="s">
        <v>1215</v>
      </c>
      <c r="O34">
        <v>25</v>
      </c>
      <c r="P34" t="s">
        <v>1217</v>
      </c>
      <c r="Q34" s="2">
        <f t="shared" si="0"/>
        <v>5174.3599999999997</v>
      </c>
      <c r="T34" s="2">
        <f t="shared" si="1"/>
        <v>0.15064516129032257</v>
      </c>
    </row>
    <row r="35" spans="1:20" x14ac:dyDescent="0.25">
      <c r="A35" t="s">
        <v>49</v>
      </c>
      <c r="B35" t="s">
        <v>317</v>
      </c>
      <c r="C35" t="s">
        <v>325</v>
      </c>
      <c r="D35" t="s">
        <v>328</v>
      </c>
      <c r="E35" t="s">
        <v>345</v>
      </c>
      <c r="F35" t="s">
        <v>350</v>
      </c>
      <c r="G35" t="s">
        <v>387</v>
      </c>
      <c r="H35">
        <v>119.3</v>
      </c>
      <c r="I35" t="s">
        <v>653</v>
      </c>
      <c r="J35" t="s">
        <v>950</v>
      </c>
      <c r="K35">
        <v>18.809999999999999</v>
      </c>
      <c r="L35">
        <v>84</v>
      </c>
      <c r="M35">
        <v>85.2</v>
      </c>
      <c r="N35" t="s">
        <v>1216</v>
      </c>
      <c r="O35">
        <v>0</v>
      </c>
      <c r="P35" t="s">
        <v>1218</v>
      </c>
      <c r="Q35" s="2">
        <f t="shared" si="0"/>
        <v>5210.37</v>
      </c>
      <c r="T35" s="2">
        <f t="shared" si="1"/>
        <v>0.15766974015088012</v>
      </c>
    </row>
    <row r="36" spans="1:20" x14ac:dyDescent="0.25">
      <c r="A36" t="s">
        <v>50</v>
      </c>
      <c r="B36" t="s">
        <v>318</v>
      </c>
      <c r="C36" t="s">
        <v>323</v>
      </c>
      <c r="D36" t="s">
        <v>327</v>
      </c>
      <c r="E36" t="s">
        <v>343</v>
      </c>
      <c r="F36" t="s">
        <v>351</v>
      </c>
      <c r="G36" t="s">
        <v>388</v>
      </c>
      <c r="H36">
        <v>88.1</v>
      </c>
      <c r="I36" t="s">
        <v>654</v>
      </c>
      <c r="J36" t="s">
        <v>951</v>
      </c>
      <c r="K36">
        <v>10.53</v>
      </c>
      <c r="L36">
        <v>177</v>
      </c>
      <c r="M36">
        <v>29.9</v>
      </c>
      <c r="N36" t="s">
        <v>1215</v>
      </c>
      <c r="O36">
        <v>10</v>
      </c>
      <c r="P36" t="s">
        <v>1217</v>
      </c>
      <c r="Q36" s="2">
        <f t="shared" si="0"/>
        <v>2916.81</v>
      </c>
      <c r="T36" s="2">
        <f t="shared" si="1"/>
        <v>0.11952326901248581</v>
      </c>
    </row>
    <row r="37" spans="1:20" x14ac:dyDescent="0.25">
      <c r="A37" t="s">
        <v>51</v>
      </c>
      <c r="B37" t="s">
        <v>317</v>
      </c>
      <c r="C37" t="s">
        <v>324</v>
      </c>
      <c r="D37" t="s">
        <v>330</v>
      </c>
      <c r="E37" t="s">
        <v>343</v>
      </c>
      <c r="F37" t="s">
        <v>353</v>
      </c>
      <c r="G37" t="s">
        <v>389</v>
      </c>
      <c r="H37">
        <v>186</v>
      </c>
      <c r="I37" t="s">
        <v>655</v>
      </c>
      <c r="J37" t="s">
        <v>952</v>
      </c>
      <c r="K37">
        <v>27.6</v>
      </c>
      <c r="L37">
        <v>72</v>
      </c>
      <c r="M37">
        <v>86</v>
      </c>
      <c r="N37" t="s">
        <v>1213</v>
      </c>
      <c r="O37">
        <v>10</v>
      </c>
      <c r="P37" t="s">
        <v>1217</v>
      </c>
      <c r="Q37" s="2">
        <f t="shared" si="0"/>
        <v>7645.2000000000007</v>
      </c>
      <c r="T37" s="2">
        <f t="shared" si="1"/>
        <v>0.14838709677419357</v>
      </c>
    </row>
    <row r="38" spans="1:20" x14ac:dyDescent="0.25">
      <c r="A38" t="s">
        <v>52</v>
      </c>
      <c r="B38" t="s">
        <v>316</v>
      </c>
      <c r="C38" t="s">
        <v>322</v>
      </c>
      <c r="D38" t="s">
        <v>327</v>
      </c>
      <c r="E38" t="s">
        <v>333</v>
      </c>
      <c r="F38" t="s">
        <v>348</v>
      </c>
      <c r="G38" t="s">
        <v>390</v>
      </c>
      <c r="H38">
        <v>84.6</v>
      </c>
      <c r="I38" t="s">
        <v>656</v>
      </c>
      <c r="J38" t="s">
        <v>953</v>
      </c>
      <c r="K38">
        <v>11.19</v>
      </c>
      <c r="L38">
        <v>108</v>
      </c>
      <c r="M38">
        <v>47</v>
      </c>
      <c r="N38" t="s">
        <v>1213</v>
      </c>
      <c r="O38">
        <v>5</v>
      </c>
      <c r="P38" t="s">
        <v>1217</v>
      </c>
      <c r="Q38" s="2">
        <f t="shared" si="0"/>
        <v>3099.6299999999997</v>
      </c>
      <c r="T38" s="2">
        <f t="shared" si="1"/>
        <v>0.13226950354609929</v>
      </c>
    </row>
    <row r="39" spans="1:20" x14ac:dyDescent="0.25">
      <c r="A39" t="s">
        <v>53</v>
      </c>
      <c r="B39" t="s">
        <v>319</v>
      </c>
      <c r="C39" t="s">
        <v>323</v>
      </c>
      <c r="D39" t="s">
        <v>331</v>
      </c>
      <c r="E39" t="s">
        <v>342</v>
      </c>
      <c r="F39" t="s">
        <v>349</v>
      </c>
      <c r="G39" t="s">
        <v>391</v>
      </c>
      <c r="H39">
        <v>194</v>
      </c>
      <c r="I39" t="s">
        <v>657</v>
      </c>
      <c r="J39" t="s">
        <v>954</v>
      </c>
      <c r="K39">
        <v>25.22</v>
      </c>
      <c r="L39">
        <v>118</v>
      </c>
      <c r="M39">
        <v>98.6</v>
      </c>
      <c r="N39" t="s">
        <v>1215</v>
      </c>
      <c r="O39">
        <v>0</v>
      </c>
      <c r="P39" t="s">
        <v>1218</v>
      </c>
      <c r="Q39" s="2">
        <f t="shared" si="0"/>
        <v>6985.94</v>
      </c>
      <c r="T39" s="2">
        <f t="shared" si="1"/>
        <v>0.13</v>
      </c>
    </row>
    <row r="40" spans="1:20" x14ac:dyDescent="0.25">
      <c r="A40" t="s">
        <v>54</v>
      </c>
      <c r="B40" t="s">
        <v>319</v>
      </c>
      <c r="C40" t="s">
        <v>323</v>
      </c>
      <c r="D40" t="s">
        <v>330</v>
      </c>
      <c r="E40" t="s">
        <v>342</v>
      </c>
      <c r="F40" t="s">
        <v>350</v>
      </c>
      <c r="G40" t="s">
        <v>392</v>
      </c>
      <c r="H40">
        <v>227.2</v>
      </c>
      <c r="I40" t="s">
        <v>658</v>
      </c>
      <c r="J40" t="s">
        <v>955</v>
      </c>
      <c r="K40">
        <v>29.31</v>
      </c>
      <c r="L40">
        <v>217</v>
      </c>
      <c r="M40">
        <v>62.8</v>
      </c>
      <c r="N40" t="s">
        <v>1216</v>
      </c>
      <c r="O40">
        <v>0</v>
      </c>
      <c r="P40" t="s">
        <v>1218</v>
      </c>
      <c r="Q40" s="2">
        <f t="shared" si="0"/>
        <v>8118.87</v>
      </c>
      <c r="T40" s="2">
        <f t="shared" si="1"/>
        <v>0.12900528169014083</v>
      </c>
    </row>
    <row r="41" spans="1:20" x14ac:dyDescent="0.25">
      <c r="A41" t="s">
        <v>55</v>
      </c>
      <c r="B41" t="s">
        <v>320</v>
      </c>
      <c r="C41" t="s">
        <v>323</v>
      </c>
      <c r="D41" t="s">
        <v>329</v>
      </c>
      <c r="E41" t="s">
        <v>337</v>
      </c>
      <c r="F41" t="s">
        <v>354</v>
      </c>
      <c r="G41" t="s">
        <v>393</v>
      </c>
      <c r="H41">
        <v>173</v>
      </c>
      <c r="I41" t="s">
        <v>659</v>
      </c>
      <c r="J41" t="s">
        <v>956</v>
      </c>
      <c r="K41">
        <v>21.66</v>
      </c>
      <c r="L41">
        <v>161</v>
      </c>
      <c r="M41">
        <v>64.5</v>
      </c>
      <c r="N41" t="s">
        <v>1215</v>
      </c>
      <c r="O41">
        <v>20</v>
      </c>
      <c r="P41" t="s">
        <v>1217</v>
      </c>
      <c r="Q41" s="2">
        <f t="shared" si="0"/>
        <v>5999.82</v>
      </c>
      <c r="T41" s="2">
        <f t="shared" si="1"/>
        <v>0.12520231213872832</v>
      </c>
    </row>
    <row r="42" spans="1:20" x14ac:dyDescent="0.25">
      <c r="A42" t="s">
        <v>56</v>
      </c>
      <c r="B42" t="s">
        <v>319</v>
      </c>
      <c r="C42" t="s">
        <v>324</v>
      </c>
      <c r="D42" t="s">
        <v>330</v>
      </c>
      <c r="E42" t="s">
        <v>341</v>
      </c>
      <c r="F42" t="s">
        <v>348</v>
      </c>
      <c r="G42" t="s">
        <v>394</v>
      </c>
      <c r="H42">
        <v>25.7</v>
      </c>
      <c r="I42" t="s">
        <v>660</v>
      </c>
      <c r="J42" t="s">
        <v>957</v>
      </c>
      <c r="K42">
        <v>2.95</v>
      </c>
      <c r="L42">
        <v>216</v>
      </c>
      <c r="M42">
        <v>7.1</v>
      </c>
      <c r="N42" t="s">
        <v>1216</v>
      </c>
      <c r="O42">
        <v>0</v>
      </c>
      <c r="P42" t="s">
        <v>1218</v>
      </c>
      <c r="Q42" s="2">
        <f t="shared" si="0"/>
        <v>817.15000000000009</v>
      </c>
      <c r="T42" s="2">
        <f t="shared" si="1"/>
        <v>0.11478599221789884</v>
      </c>
    </row>
    <row r="43" spans="1:20" x14ac:dyDescent="0.25">
      <c r="A43" t="s">
        <v>57</v>
      </c>
      <c r="B43" t="s">
        <v>320</v>
      </c>
      <c r="C43" t="s">
        <v>322</v>
      </c>
      <c r="D43" t="s">
        <v>330</v>
      </c>
      <c r="E43" t="s">
        <v>345</v>
      </c>
      <c r="F43" t="s">
        <v>353</v>
      </c>
      <c r="G43" t="s">
        <v>395</v>
      </c>
      <c r="H43">
        <v>144.4</v>
      </c>
      <c r="I43" t="s">
        <v>661</v>
      </c>
      <c r="J43" t="s">
        <v>958</v>
      </c>
      <c r="K43">
        <v>20.48</v>
      </c>
      <c r="L43">
        <v>192</v>
      </c>
      <c r="M43">
        <v>45.1</v>
      </c>
      <c r="N43" t="s">
        <v>1213</v>
      </c>
      <c r="O43">
        <v>5</v>
      </c>
      <c r="P43" t="s">
        <v>1217</v>
      </c>
      <c r="Q43" s="2">
        <f t="shared" si="0"/>
        <v>5672.96</v>
      </c>
      <c r="T43" s="2">
        <f t="shared" si="1"/>
        <v>0.14182825484764541</v>
      </c>
    </row>
    <row r="44" spans="1:20" x14ac:dyDescent="0.25">
      <c r="A44" t="s">
        <v>58</v>
      </c>
      <c r="B44" t="s">
        <v>318</v>
      </c>
      <c r="C44" t="s">
        <v>325</v>
      </c>
      <c r="D44" t="s">
        <v>326</v>
      </c>
      <c r="E44" t="s">
        <v>343</v>
      </c>
      <c r="F44" t="s">
        <v>353</v>
      </c>
      <c r="G44" t="s">
        <v>396</v>
      </c>
      <c r="H44">
        <v>223.8</v>
      </c>
      <c r="I44" t="s">
        <v>662</v>
      </c>
      <c r="J44" t="s">
        <v>959</v>
      </c>
      <c r="K44">
        <v>27.85</v>
      </c>
      <c r="L44">
        <v>59</v>
      </c>
      <c r="M44">
        <v>87</v>
      </c>
      <c r="N44" t="s">
        <v>1215</v>
      </c>
      <c r="O44">
        <v>0</v>
      </c>
      <c r="P44" t="s">
        <v>1218</v>
      </c>
      <c r="Q44" s="2">
        <f t="shared" si="0"/>
        <v>7714.4500000000007</v>
      </c>
      <c r="T44" s="2">
        <f t="shared" si="1"/>
        <v>0.12444146559428061</v>
      </c>
    </row>
    <row r="45" spans="1:20" x14ac:dyDescent="0.25">
      <c r="A45" t="s">
        <v>59</v>
      </c>
      <c r="B45" t="s">
        <v>319</v>
      </c>
      <c r="C45" t="s">
        <v>323</v>
      </c>
      <c r="D45" t="s">
        <v>326</v>
      </c>
      <c r="E45" t="s">
        <v>342</v>
      </c>
      <c r="F45" t="s">
        <v>351</v>
      </c>
      <c r="G45" t="s">
        <v>397</v>
      </c>
      <c r="H45">
        <v>120.9</v>
      </c>
      <c r="I45" t="s">
        <v>663</v>
      </c>
      <c r="J45" t="s">
        <v>960</v>
      </c>
      <c r="K45">
        <v>14.45</v>
      </c>
      <c r="L45">
        <v>148</v>
      </c>
      <c r="M45">
        <v>49</v>
      </c>
      <c r="N45" t="s">
        <v>1216</v>
      </c>
      <c r="O45">
        <v>0</v>
      </c>
      <c r="P45" t="s">
        <v>1218</v>
      </c>
      <c r="Q45" s="2">
        <f t="shared" si="0"/>
        <v>4002.6499999999996</v>
      </c>
      <c r="T45" s="2">
        <f t="shared" si="1"/>
        <v>0.11952026468155499</v>
      </c>
    </row>
    <row r="46" spans="1:20" x14ac:dyDescent="0.25">
      <c r="A46" t="s">
        <v>60</v>
      </c>
      <c r="B46" t="s">
        <v>318</v>
      </c>
      <c r="C46" t="s">
        <v>325</v>
      </c>
      <c r="D46" t="s">
        <v>331</v>
      </c>
      <c r="E46" t="s">
        <v>343</v>
      </c>
      <c r="F46" t="s">
        <v>351</v>
      </c>
      <c r="G46" t="s">
        <v>398</v>
      </c>
      <c r="H46">
        <v>164.1</v>
      </c>
      <c r="I46" t="s">
        <v>664</v>
      </c>
      <c r="J46" t="s">
        <v>961</v>
      </c>
      <c r="K46">
        <v>18.7</v>
      </c>
      <c r="L46">
        <v>101</v>
      </c>
      <c r="M46">
        <v>97.5</v>
      </c>
      <c r="N46" t="s">
        <v>1216</v>
      </c>
      <c r="O46">
        <v>25</v>
      </c>
      <c r="P46" t="s">
        <v>1217</v>
      </c>
      <c r="Q46" s="2">
        <f t="shared" si="0"/>
        <v>5179.8999999999996</v>
      </c>
      <c r="T46" s="2">
        <f t="shared" si="1"/>
        <v>0.11395490554539915</v>
      </c>
    </row>
    <row r="47" spans="1:20" x14ac:dyDescent="0.25">
      <c r="A47" t="s">
        <v>61</v>
      </c>
      <c r="B47" t="s">
        <v>318</v>
      </c>
      <c r="C47" t="s">
        <v>325</v>
      </c>
      <c r="D47" t="s">
        <v>326</v>
      </c>
      <c r="E47" t="s">
        <v>346</v>
      </c>
      <c r="F47" t="s">
        <v>348</v>
      </c>
      <c r="G47" t="s">
        <v>399</v>
      </c>
      <c r="H47">
        <v>142.69999999999999</v>
      </c>
      <c r="I47" t="s">
        <v>665</v>
      </c>
      <c r="J47" t="s">
        <v>962</v>
      </c>
      <c r="K47">
        <v>23.78</v>
      </c>
      <c r="L47">
        <v>94</v>
      </c>
      <c r="M47">
        <v>91.1</v>
      </c>
      <c r="N47" t="s">
        <v>1213</v>
      </c>
      <c r="O47">
        <v>15</v>
      </c>
      <c r="P47" t="s">
        <v>1217</v>
      </c>
      <c r="Q47" s="2">
        <f t="shared" si="0"/>
        <v>6587.06</v>
      </c>
      <c r="T47" s="2">
        <f t="shared" si="1"/>
        <v>0.16664330763840227</v>
      </c>
    </row>
    <row r="48" spans="1:20" x14ac:dyDescent="0.25">
      <c r="A48" t="s">
        <v>62</v>
      </c>
      <c r="B48" t="s">
        <v>316</v>
      </c>
      <c r="C48" t="s">
        <v>323</v>
      </c>
      <c r="D48" t="s">
        <v>327</v>
      </c>
      <c r="E48" t="s">
        <v>334</v>
      </c>
      <c r="F48" t="s">
        <v>352</v>
      </c>
      <c r="G48" t="s">
        <v>400</v>
      </c>
      <c r="H48">
        <v>179.2</v>
      </c>
      <c r="I48" t="s">
        <v>666</v>
      </c>
      <c r="J48" t="s">
        <v>963</v>
      </c>
      <c r="K48">
        <v>22.71</v>
      </c>
      <c r="L48">
        <v>113</v>
      </c>
      <c r="M48">
        <v>95.2</v>
      </c>
      <c r="N48" t="s">
        <v>1213</v>
      </c>
      <c r="O48">
        <v>10</v>
      </c>
      <c r="P48" t="s">
        <v>1217</v>
      </c>
      <c r="Q48" s="2">
        <f t="shared" si="0"/>
        <v>6290.67</v>
      </c>
      <c r="T48" s="2">
        <f t="shared" si="1"/>
        <v>0.12672991071428572</v>
      </c>
    </row>
    <row r="49" spans="1:20" x14ac:dyDescent="0.25">
      <c r="A49" t="s">
        <v>63</v>
      </c>
      <c r="B49" t="s">
        <v>319</v>
      </c>
      <c r="C49" t="s">
        <v>322</v>
      </c>
      <c r="D49" t="s">
        <v>331</v>
      </c>
      <c r="E49" t="s">
        <v>333</v>
      </c>
      <c r="F49" t="s">
        <v>354</v>
      </c>
      <c r="G49" t="s">
        <v>401</v>
      </c>
      <c r="H49">
        <v>30.7</v>
      </c>
      <c r="I49" t="s">
        <v>667</v>
      </c>
      <c r="J49" t="s">
        <v>964</v>
      </c>
      <c r="K49">
        <v>3.58</v>
      </c>
      <c r="L49">
        <v>221</v>
      </c>
      <c r="M49">
        <v>8.3000000000000007</v>
      </c>
      <c r="N49" t="s">
        <v>1215</v>
      </c>
      <c r="O49">
        <v>0</v>
      </c>
      <c r="P49" t="s">
        <v>1218</v>
      </c>
      <c r="Q49" s="2">
        <f t="shared" si="0"/>
        <v>991.66</v>
      </c>
      <c r="T49" s="2">
        <f t="shared" si="1"/>
        <v>0.11661237785016287</v>
      </c>
    </row>
    <row r="50" spans="1:20" x14ac:dyDescent="0.25">
      <c r="A50" t="s">
        <v>64</v>
      </c>
      <c r="B50" t="s">
        <v>318</v>
      </c>
      <c r="C50" t="s">
        <v>324</v>
      </c>
      <c r="D50" t="s">
        <v>327</v>
      </c>
      <c r="E50" t="s">
        <v>334</v>
      </c>
      <c r="F50" t="s">
        <v>350</v>
      </c>
      <c r="G50" t="s">
        <v>402</v>
      </c>
      <c r="H50">
        <v>92.2</v>
      </c>
      <c r="I50" t="s">
        <v>668</v>
      </c>
      <c r="J50" t="s">
        <v>965</v>
      </c>
      <c r="K50">
        <v>11.65</v>
      </c>
      <c r="L50">
        <v>183</v>
      </c>
      <c r="M50">
        <v>30.2</v>
      </c>
      <c r="N50" t="s">
        <v>1213</v>
      </c>
      <c r="O50">
        <v>25</v>
      </c>
      <c r="P50" t="s">
        <v>1217</v>
      </c>
      <c r="Q50" s="2">
        <f t="shared" si="0"/>
        <v>3227.05</v>
      </c>
      <c r="T50" s="2">
        <f t="shared" si="1"/>
        <v>0.12635574837310196</v>
      </c>
    </row>
    <row r="51" spans="1:20" x14ac:dyDescent="0.25">
      <c r="A51" t="s">
        <v>65</v>
      </c>
      <c r="B51" t="s">
        <v>318</v>
      </c>
      <c r="C51" t="s">
        <v>323</v>
      </c>
      <c r="D51" t="s">
        <v>326</v>
      </c>
      <c r="E51" t="s">
        <v>336</v>
      </c>
      <c r="F51" t="s">
        <v>352</v>
      </c>
      <c r="G51" t="s">
        <v>403</v>
      </c>
      <c r="H51">
        <v>97.4</v>
      </c>
      <c r="I51" t="s">
        <v>669</v>
      </c>
      <c r="J51" t="s">
        <v>966</v>
      </c>
      <c r="K51">
        <v>11.8</v>
      </c>
      <c r="L51">
        <v>174</v>
      </c>
      <c r="M51">
        <v>33.6</v>
      </c>
      <c r="N51" t="s">
        <v>1216</v>
      </c>
      <c r="O51">
        <v>0</v>
      </c>
      <c r="P51" t="s">
        <v>1218</v>
      </c>
      <c r="Q51" s="2">
        <f t="shared" si="0"/>
        <v>3268.6000000000004</v>
      </c>
      <c r="T51" s="2">
        <f t="shared" si="1"/>
        <v>0.12114989733059549</v>
      </c>
    </row>
    <row r="52" spans="1:20" x14ac:dyDescent="0.25">
      <c r="A52" t="s">
        <v>66</v>
      </c>
      <c r="B52" t="s">
        <v>318</v>
      </c>
      <c r="C52" t="s">
        <v>325</v>
      </c>
      <c r="D52" t="s">
        <v>330</v>
      </c>
      <c r="E52" t="s">
        <v>335</v>
      </c>
      <c r="F52" t="s">
        <v>352</v>
      </c>
      <c r="G52" t="s">
        <v>404</v>
      </c>
      <c r="H52">
        <v>93.3</v>
      </c>
      <c r="I52" t="s">
        <v>670</v>
      </c>
      <c r="J52" t="s">
        <v>967</v>
      </c>
      <c r="K52">
        <v>13.5</v>
      </c>
      <c r="L52">
        <v>109</v>
      </c>
      <c r="M52">
        <v>51.4</v>
      </c>
      <c r="N52" t="s">
        <v>1214</v>
      </c>
      <c r="O52">
        <v>10</v>
      </c>
      <c r="P52" t="s">
        <v>1217</v>
      </c>
      <c r="Q52" s="2">
        <f t="shared" si="0"/>
        <v>3739.5</v>
      </c>
      <c r="T52" s="2">
        <f t="shared" si="1"/>
        <v>0.14469453376205788</v>
      </c>
    </row>
    <row r="53" spans="1:20" x14ac:dyDescent="0.25">
      <c r="A53" t="s">
        <v>67</v>
      </c>
      <c r="B53" t="s">
        <v>317</v>
      </c>
      <c r="C53" t="s">
        <v>322</v>
      </c>
      <c r="D53" t="s">
        <v>332</v>
      </c>
      <c r="E53" t="s">
        <v>336</v>
      </c>
      <c r="F53" t="s">
        <v>348</v>
      </c>
      <c r="G53" t="s">
        <v>405</v>
      </c>
      <c r="H53">
        <v>88.4</v>
      </c>
      <c r="I53" t="s">
        <v>671</v>
      </c>
      <c r="J53" t="s">
        <v>968</v>
      </c>
      <c r="K53">
        <v>10.8</v>
      </c>
      <c r="L53">
        <v>123</v>
      </c>
      <c r="M53">
        <v>43.1</v>
      </c>
      <c r="N53" t="s">
        <v>1215</v>
      </c>
      <c r="O53">
        <v>25</v>
      </c>
      <c r="P53" t="s">
        <v>1217</v>
      </c>
      <c r="Q53" s="2">
        <f t="shared" si="0"/>
        <v>2991.6000000000004</v>
      </c>
      <c r="T53" s="2">
        <f t="shared" si="1"/>
        <v>0.12217194570135746</v>
      </c>
    </row>
    <row r="54" spans="1:20" x14ac:dyDescent="0.25">
      <c r="A54" t="s">
        <v>68</v>
      </c>
      <c r="B54" t="s">
        <v>316</v>
      </c>
      <c r="C54" t="s">
        <v>325</v>
      </c>
      <c r="D54" t="s">
        <v>331</v>
      </c>
      <c r="E54" t="s">
        <v>345</v>
      </c>
      <c r="F54" t="s">
        <v>351</v>
      </c>
      <c r="G54" t="s">
        <v>406</v>
      </c>
      <c r="H54">
        <v>85.8</v>
      </c>
      <c r="I54" t="s">
        <v>672</v>
      </c>
      <c r="J54" t="s">
        <v>969</v>
      </c>
      <c r="K54">
        <v>10.88</v>
      </c>
      <c r="L54">
        <v>73</v>
      </c>
      <c r="M54">
        <v>70.5</v>
      </c>
      <c r="N54" t="s">
        <v>1214</v>
      </c>
      <c r="O54">
        <v>25</v>
      </c>
      <c r="P54" t="s">
        <v>1217</v>
      </c>
      <c r="Q54" s="2">
        <f t="shared" si="0"/>
        <v>3013.76</v>
      </c>
      <c r="T54" s="2">
        <f t="shared" si="1"/>
        <v>0.12680652680652682</v>
      </c>
    </row>
    <row r="55" spans="1:20" x14ac:dyDescent="0.25">
      <c r="A55" t="s">
        <v>69</v>
      </c>
      <c r="B55" t="s">
        <v>318</v>
      </c>
      <c r="C55" t="s">
        <v>324</v>
      </c>
      <c r="D55" t="s">
        <v>331</v>
      </c>
      <c r="E55" t="s">
        <v>333</v>
      </c>
      <c r="F55" t="s">
        <v>353</v>
      </c>
      <c r="G55" t="s">
        <v>407</v>
      </c>
      <c r="H55">
        <v>94.6</v>
      </c>
      <c r="I55" t="s">
        <v>673</v>
      </c>
      <c r="J55" t="s">
        <v>970</v>
      </c>
      <c r="K55">
        <v>14.6</v>
      </c>
      <c r="L55">
        <v>164</v>
      </c>
      <c r="M55">
        <v>34.6</v>
      </c>
      <c r="N55" t="s">
        <v>1215</v>
      </c>
      <c r="O55">
        <v>5</v>
      </c>
      <c r="P55" t="s">
        <v>1217</v>
      </c>
      <c r="Q55" s="2">
        <f t="shared" si="0"/>
        <v>4044.2</v>
      </c>
      <c r="T55" s="2">
        <f t="shared" si="1"/>
        <v>0.15433403805496829</v>
      </c>
    </row>
    <row r="56" spans="1:20" x14ac:dyDescent="0.25">
      <c r="A56" t="s">
        <v>70</v>
      </c>
      <c r="B56" t="s">
        <v>321</v>
      </c>
      <c r="C56" t="s">
        <v>322</v>
      </c>
      <c r="D56" t="s">
        <v>329</v>
      </c>
      <c r="E56" t="s">
        <v>340</v>
      </c>
      <c r="F56" t="s">
        <v>352</v>
      </c>
      <c r="G56" t="s">
        <v>408</v>
      </c>
      <c r="H56">
        <v>234.6</v>
      </c>
      <c r="I56" t="s">
        <v>674</v>
      </c>
      <c r="J56" t="s">
        <v>971</v>
      </c>
      <c r="K56">
        <v>33.380000000000003</v>
      </c>
      <c r="L56">
        <v>232</v>
      </c>
      <c r="M56">
        <v>60.7</v>
      </c>
      <c r="N56" t="s">
        <v>1216</v>
      </c>
      <c r="O56">
        <v>20</v>
      </c>
      <c r="P56" t="s">
        <v>1217</v>
      </c>
      <c r="Q56" s="2">
        <f t="shared" si="0"/>
        <v>9246.26</v>
      </c>
      <c r="T56" s="2">
        <f t="shared" si="1"/>
        <v>0.14228473998294972</v>
      </c>
    </row>
    <row r="57" spans="1:20" x14ac:dyDescent="0.25">
      <c r="A57" t="s">
        <v>71</v>
      </c>
      <c r="B57" t="s">
        <v>319</v>
      </c>
      <c r="C57" t="s">
        <v>324</v>
      </c>
      <c r="D57" t="s">
        <v>327</v>
      </c>
      <c r="E57" t="s">
        <v>336</v>
      </c>
      <c r="F57" t="s">
        <v>348</v>
      </c>
      <c r="G57" t="s">
        <v>409</v>
      </c>
      <c r="H57">
        <v>153.1</v>
      </c>
      <c r="I57" t="s">
        <v>675</v>
      </c>
      <c r="J57" t="s">
        <v>972</v>
      </c>
      <c r="K57">
        <v>20.420000000000002</v>
      </c>
      <c r="L57">
        <v>144</v>
      </c>
      <c r="M57">
        <v>63.8</v>
      </c>
      <c r="N57" t="s">
        <v>1215</v>
      </c>
      <c r="O57">
        <v>25</v>
      </c>
      <c r="P57" t="s">
        <v>1217</v>
      </c>
      <c r="Q57" s="2">
        <f t="shared" si="0"/>
        <v>5656.34</v>
      </c>
      <c r="T57" s="2">
        <f t="shared" si="1"/>
        <v>0.13337687785760943</v>
      </c>
    </row>
    <row r="58" spans="1:20" x14ac:dyDescent="0.25">
      <c r="A58" t="s">
        <v>72</v>
      </c>
      <c r="B58" t="s">
        <v>320</v>
      </c>
      <c r="C58" t="s">
        <v>325</v>
      </c>
      <c r="D58" t="s">
        <v>329</v>
      </c>
      <c r="E58" t="s">
        <v>336</v>
      </c>
      <c r="F58" t="s">
        <v>354</v>
      </c>
      <c r="G58" t="s">
        <v>410</v>
      </c>
      <c r="H58">
        <v>124.1</v>
      </c>
      <c r="I58" t="s">
        <v>676</v>
      </c>
      <c r="J58" t="s">
        <v>973</v>
      </c>
      <c r="K58">
        <v>20.309999999999999</v>
      </c>
      <c r="L58">
        <v>155</v>
      </c>
      <c r="M58">
        <v>48</v>
      </c>
      <c r="N58" t="s">
        <v>1215</v>
      </c>
      <c r="O58">
        <v>10</v>
      </c>
      <c r="P58" t="s">
        <v>1217</v>
      </c>
      <c r="Q58" s="2">
        <f t="shared" si="0"/>
        <v>5625.87</v>
      </c>
      <c r="T58" s="2">
        <f t="shared" si="1"/>
        <v>0.16365834004834812</v>
      </c>
    </row>
    <row r="59" spans="1:20" x14ac:dyDescent="0.25">
      <c r="A59" t="s">
        <v>73</v>
      </c>
      <c r="B59" t="s">
        <v>320</v>
      </c>
      <c r="C59" t="s">
        <v>324</v>
      </c>
      <c r="D59" t="s">
        <v>328</v>
      </c>
      <c r="E59" t="s">
        <v>343</v>
      </c>
      <c r="F59" t="s">
        <v>353</v>
      </c>
      <c r="G59" t="s">
        <v>411</v>
      </c>
      <c r="H59">
        <v>42.7</v>
      </c>
      <c r="I59" t="s">
        <v>677</v>
      </c>
      <c r="J59" t="s">
        <v>974</v>
      </c>
      <c r="K59">
        <v>5.52</v>
      </c>
      <c r="L59">
        <v>112</v>
      </c>
      <c r="M59">
        <v>22.9</v>
      </c>
      <c r="N59" t="s">
        <v>1213</v>
      </c>
      <c r="O59">
        <v>5</v>
      </c>
      <c r="P59" t="s">
        <v>1217</v>
      </c>
      <c r="Q59" s="2">
        <f t="shared" si="0"/>
        <v>1529.04</v>
      </c>
      <c r="T59" s="2">
        <f t="shared" si="1"/>
        <v>0.12927400468384073</v>
      </c>
    </row>
    <row r="60" spans="1:20" x14ac:dyDescent="0.25">
      <c r="A60" t="s">
        <v>74</v>
      </c>
      <c r="B60" t="s">
        <v>316</v>
      </c>
      <c r="C60" t="s">
        <v>322</v>
      </c>
      <c r="D60" t="s">
        <v>329</v>
      </c>
      <c r="E60" t="s">
        <v>347</v>
      </c>
      <c r="F60" t="s">
        <v>352</v>
      </c>
      <c r="G60" t="s">
        <v>412</v>
      </c>
      <c r="H60">
        <v>50.7</v>
      </c>
      <c r="I60" t="s">
        <v>678</v>
      </c>
      <c r="J60" t="s">
        <v>975</v>
      </c>
      <c r="K60">
        <v>7.21</v>
      </c>
      <c r="L60">
        <v>45</v>
      </c>
      <c r="M60">
        <v>67.599999999999994</v>
      </c>
      <c r="N60" t="s">
        <v>1216</v>
      </c>
      <c r="O60">
        <v>15</v>
      </c>
      <c r="P60" t="s">
        <v>1217</v>
      </c>
      <c r="Q60" s="2">
        <f t="shared" si="0"/>
        <v>1997.17</v>
      </c>
      <c r="T60" s="2">
        <f t="shared" si="1"/>
        <v>0.14220907297830374</v>
      </c>
    </row>
    <row r="61" spans="1:20" x14ac:dyDescent="0.25">
      <c r="A61" t="s">
        <v>75</v>
      </c>
      <c r="B61" t="s">
        <v>321</v>
      </c>
      <c r="C61" t="s">
        <v>324</v>
      </c>
      <c r="D61" t="s">
        <v>330</v>
      </c>
      <c r="E61" t="s">
        <v>343</v>
      </c>
      <c r="F61" t="s">
        <v>349</v>
      </c>
      <c r="G61" t="s">
        <v>413</v>
      </c>
      <c r="H61">
        <v>64.7</v>
      </c>
      <c r="I61" t="s">
        <v>679</v>
      </c>
      <c r="J61" t="s">
        <v>976</v>
      </c>
      <c r="K61">
        <v>10.3</v>
      </c>
      <c r="L61">
        <v>237</v>
      </c>
      <c r="M61">
        <v>16.399999999999999</v>
      </c>
      <c r="N61" t="s">
        <v>1213</v>
      </c>
      <c r="O61">
        <v>5</v>
      </c>
      <c r="P61" t="s">
        <v>1217</v>
      </c>
      <c r="Q61" s="2">
        <f t="shared" si="0"/>
        <v>2853.1000000000004</v>
      </c>
      <c r="T61" s="2">
        <f t="shared" si="1"/>
        <v>0.15919629057187018</v>
      </c>
    </row>
    <row r="62" spans="1:20" x14ac:dyDescent="0.25">
      <c r="A62" t="s">
        <v>76</v>
      </c>
      <c r="B62" t="s">
        <v>320</v>
      </c>
      <c r="C62" t="s">
        <v>324</v>
      </c>
      <c r="D62" t="s">
        <v>330</v>
      </c>
      <c r="E62" t="s">
        <v>347</v>
      </c>
      <c r="F62" t="s">
        <v>351</v>
      </c>
      <c r="G62" t="s">
        <v>414</v>
      </c>
      <c r="H62">
        <v>239.2</v>
      </c>
      <c r="I62" t="s">
        <v>680</v>
      </c>
      <c r="J62" t="s">
        <v>977</v>
      </c>
      <c r="K62">
        <v>29.14</v>
      </c>
      <c r="L62">
        <v>148</v>
      </c>
      <c r="M62">
        <v>97</v>
      </c>
      <c r="N62" t="s">
        <v>1213</v>
      </c>
      <c r="O62">
        <v>5</v>
      </c>
      <c r="P62" t="s">
        <v>1217</v>
      </c>
      <c r="Q62" s="2">
        <f t="shared" si="0"/>
        <v>8071.78</v>
      </c>
      <c r="T62" s="2">
        <f t="shared" si="1"/>
        <v>0.1218227424749164</v>
      </c>
    </row>
    <row r="63" spans="1:20" x14ac:dyDescent="0.25">
      <c r="A63" t="s">
        <v>77</v>
      </c>
      <c r="B63" t="s">
        <v>321</v>
      </c>
      <c r="C63" t="s">
        <v>323</v>
      </c>
      <c r="D63" t="s">
        <v>329</v>
      </c>
      <c r="E63" t="s">
        <v>341</v>
      </c>
      <c r="F63" t="s">
        <v>351</v>
      </c>
      <c r="G63" t="s">
        <v>415</v>
      </c>
      <c r="H63">
        <v>146</v>
      </c>
      <c r="I63" t="s">
        <v>681</v>
      </c>
      <c r="J63" t="s">
        <v>978</v>
      </c>
      <c r="K63">
        <v>21.52</v>
      </c>
      <c r="L63">
        <v>102</v>
      </c>
      <c r="M63">
        <v>85.9</v>
      </c>
      <c r="N63" t="s">
        <v>1214</v>
      </c>
      <c r="O63">
        <v>10</v>
      </c>
      <c r="P63" t="s">
        <v>1217</v>
      </c>
      <c r="Q63" s="2">
        <f t="shared" si="0"/>
        <v>5961.04</v>
      </c>
      <c r="T63" s="2">
        <f t="shared" si="1"/>
        <v>0.1473972602739726</v>
      </c>
    </row>
    <row r="64" spans="1:20" x14ac:dyDescent="0.25">
      <c r="A64" t="s">
        <v>78</v>
      </c>
      <c r="B64" t="s">
        <v>319</v>
      </c>
      <c r="C64" t="s">
        <v>323</v>
      </c>
      <c r="D64" t="s">
        <v>331</v>
      </c>
      <c r="E64" t="s">
        <v>334</v>
      </c>
      <c r="F64" t="s">
        <v>349</v>
      </c>
      <c r="G64" t="s">
        <v>416</v>
      </c>
      <c r="H64">
        <v>214.1</v>
      </c>
      <c r="I64" t="s">
        <v>682</v>
      </c>
      <c r="J64" t="s">
        <v>979</v>
      </c>
      <c r="K64">
        <v>30.32</v>
      </c>
      <c r="L64">
        <v>199</v>
      </c>
      <c r="M64">
        <v>64.599999999999994</v>
      </c>
      <c r="N64" t="s">
        <v>1213</v>
      </c>
      <c r="O64">
        <v>10</v>
      </c>
      <c r="P64" t="s">
        <v>1217</v>
      </c>
      <c r="Q64" s="2">
        <f t="shared" si="0"/>
        <v>8398.64</v>
      </c>
      <c r="T64" s="2">
        <f t="shared" si="1"/>
        <v>0.14161606725829051</v>
      </c>
    </row>
    <row r="65" spans="1:20" x14ac:dyDescent="0.25">
      <c r="A65" t="s">
        <v>79</v>
      </c>
      <c r="B65" t="s">
        <v>320</v>
      </c>
      <c r="C65" t="s">
        <v>322</v>
      </c>
      <c r="D65" t="s">
        <v>329</v>
      </c>
      <c r="E65" t="s">
        <v>337</v>
      </c>
      <c r="F65" t="s">
        <v>349</v>
      </c>
      <c r="G65" t="s">
        <v>417</v>
      </c>
      <c r="H65">
        <v>197.6</v>
      </c>
      <c r="I65" t="s">
        <v>683</v>
      </c>
      <c r="J65" t="s">
        <v>980</v>
      </c>
      <c r="K65">
        <v>32.93</v>
      </c>
      <c r="L65">
        <v>49</v>
      </c>
      <c r="M65">
        <v>70</v>
      </c>
      <c r="N65" t="s">
        <v>1215</v>
      </c>
      <c r="O65">
        <v>25</v>
      </c>
      <c r="P65" t="s">
        <v>1217</v>
      </c>
      <c r="Q65" s="2">
        <f t="shared" si="0"/>
        <v>9121.61</v>
      </c>
      <c r="T65" s="2">
        <f t="shared" si="1"/>
        <v>0.16664979757085022</v>
      </c>
    </row>
    <row r="66" spans="1:20" x14ac:dyDescent="0.25">
      <c r="A66" t="s">
        <v>80</v>
      </c>
      <c r="B66" t="s">
        <v>317</v>
      </c>
      <c r="C66" t="s">
        <v>323</v>
      </c>
      <c r="D66" t="s">
        <v>327</v>
      </c>
      <c r="E66" t="s">
        <v>343</v>
      </c>
      <c r="F66" t="s">
        <v>350</v>
      </c>
      <c r="G66" t="s">
        <v>418</v>
      </c>
      <c r="H66">
        <v>119.8</v>
      </c>
      <c r="I66" t="s">
        <v>684</v>
      </c>
      <c r="J66" t="s">
        <v>981</v>
      </c>
      <c r="K66">
        <v>15.39</v>
      </c>
      <c r="L66">
        <v>115</v>
      </c>
      <c r="M66">
        <v>62.5</v>
      </c>
      <c r="N66" t="s">
        <v>1216</v>
      </c>
      <c r="O66">
        <v>10</v>
      </c>
      <c r="P66" t="s">
        <v>1217</v>
      </c>
      <c r="Q66" s="2">
        <f t="shared" si="0"/>
        <v>4263.03</v>
      </c>
      <c r="T66" s="2">
        <f t="shared" si="1"/>
        <v>0.12846410684474124</v>
      </c>
    </row>
    <row r="67" spans="1:20" x14ac:dyDescent="0.25">
      <c r="A67" t="s">
        <v>81</v>
      </c>
      <c r="B67" t="s">
        <v>319</v>
      </c>
      <c r="C67" t="s">
        <v>323</v>
      </c>
      <c r="D67" t="s">
        <v>331</v>
      </c>
      <c r="E67" t="s">
        <v>341</v>
      </c>
      <c r="F67" t="s">
        <v>350</v>
      </c>
      <c r="G67" t="s">
        <v>419</v>
      </c>
      <c r="H67">
        <v>186.5</v>
      </c>
      <c r="I67" t="s">
        <v>685</v>
      </c>
      <c r="J67" t="s">
        <v>982</v>
      </c>
      <c r="K67">
        <v>26.5</v>
      </c>
      <c r="L67">
        <v>119</v>
      </c>
      <c r="M67">
        <v>94</v>
      </c>
      <c r="N67" t="s">
        <v>1215</v>
      </c>
      <c r="O67">
        <v>5</v>
      </c>
      <c r="P67" t="s">
        <v>1217</v>
      </c>
      <c r="Q67" s="2">
        <f t="shared" ref="Q67:Q130" si="2">K67*277</f>
        <v>7340.5</v>
      </c>
      <c r="T67" s="2">
        <f t="shared" ref="T67:T130" si="3">K67/H67</f>
        <v>0.14209115281501342</v>
      </c>
    </row>
    <row r="68" spans="1:20" x14ac:dyDescent="0.25">
      <c r="A68" t="s">
        <v>82</v>
      </c>
      <c r="B68" t="s">
        <v>316</v>
      </c>
      <c r="C68" t="s">
        <v>325</v>
      </c>
      <c r="D68" t="s">
        <v>331</v>
      </c>
      <c r="E68" t="s">
        <v>344</v>
      </c>
      <c r="F68" t="s">
        <v>351</v>
      </c>
      <c r="G68" t="s">
        <v>420</v>
      </c>
      <c r="H68">
        <v>44.2</v>
      </c>
      <c r="I68" t="s">
        <v>686</v>
      </c>
      <c r="J68" t="s">
        <v>983</v>
      </c>
      <c r="K68">
        <v>7.22</v>
      </c>
      <c r="L68">
        <v>48</v>
      </c>
      <c r="M68">
        <v>55.2</v>
      </c>
      <c r="N68" t="s">
        <v>1215</v>
      </c>
      <c r="O68">
        <v>25</v>
      </c>
      <c r="P68" t="s">
        <v>1217</v>
      </c>
      <c r="Q68" s="2">
        <f t="shared" si="2"/>
        <v>1999.9399999999998</v>
      </c>
      <c r="T68" s="2">
        <f t="shared" si="3"/>
        <v>0.16334841628959273</v>
      </c>
    </row>
    <row r="69" spans="1:20" x14ac:dyDescent="0.25">
      <c r="A69" t="s">
        <v>83</v>
      </c>
      <c r="B69" t="s">
        <v>319</v>
      </c>
      <c r="C69" t="s">
        <v>322</v>
      </c>
      <c r="D69" t="s">
        <v>326</v>
      </c>
      <c r="E69" t="s">
        <v>337</v>
      </c>
      <c r="F69" t="s">
        <v>352</v>
      </c>
      <c r="G69" t="s">
        <v>421</v>
      </c>
      <c r="H69">
        <v>175</v>
      </c>
      <c r="I69" t="s">
        <v>687</v>
      </c>
      <c r="J69" t="s">
        <v>984</v>
      </c>
      <c r="K69">
        <v>23.63</v>
      </c>
      <c r="L69">
        <v>172</v>
      </c>
      <c r="M69">
        <v>61</v>
      </c>
      <c r="N69" t="s">
        <v>1214</v>
      </c>
      <c r="O69">
        <v>5</v>
      </c>
      <c r="P69" t="s">
        <v>1217</v>
      </c>
      <c r="Q69" s="2">
        <f t="shared" si="2"/>
        <v>6545.5099999999993</v>
      </c>
      <c r="T69" s="2">
        <f t="shared" si="3"/>
        <v>0.13502857142857141</v>
      </c>
    </row>
    <row r="70" spans="1:20" x14ac:dyDescent="0.25">
      <c r="A70" t="s">
        <v>84</v>
      </c>
      <c r="B70" t="s">
        <v>321</v>
      </c>
      <c r="C70" t="s">
        <v>322</v>
      </c>
      <c r="D70" t="s">
        <v>327</v>
      </c>
      <c r="E70" t="s">
        <v>347</v>
      </c>
      <c r="F70" t="s">
        <v>350</v>
      </c>
      <c r="G70" t="s">
        <v>422</v>
      </c>
      <c r="H70">
        <v>224.1</v>
      </c>
      <c r="I70" t="s">
        <v>688</v>
      </c>
      <c r="J70" t="s">
        <v>985</v>
      </c>
      <c r="K70">
        <v>29.24</v>
      </c>
      <c r="L70">
        <v>240</v>
      </c>
      <c r="M70">
        <v>56</v>
      </c>
      <c r="N70" t="s">
        <v>1216</v>
      </c>
      <c r="O70">
        <v>0</v>
      </c>
      <c r="P70" t="s">
        <v>1218</v>
      </c>
      <c r="Q70" s="2">
        <f t="shared" si="2"/>
        <v>8099.48</v>
      </c>
      <c r="T70" s="2">
        <f t="shared" si="3"/>
        <v>0.13047746541722444</v>
      </c>
    </row>
    <row r="71" spans="1:20" x14ac:dyDescent="0.25">
      <c r="A71" t="s">
        <v>85</v>
      </c>
      <c r="B71" t="s">
        <v>316</v>
      </c>
      <c r="C71" t="s">
        <v>322</v>
      </c>
      <c r="D71" t="s">
        <v>328</v>
      </c>
      <c r="E71" t="s">
        <v>336</v>
      </c>
      <c r="F71" t="s">
        <v>351</v>
      </c>
      <c r="G71" t="s">
        <v>423</v>
      </c>
      <c r="H71">
        <v>36.700000000000003</v>
      </c>
      <c r="I71" t="s">
        <v>689</v>
      </c>
      <c r="J71" t="s">
        <v>986</v>
      </c>
      <c r="K71">
        <v>6.02</v>
      </c>
      <c r="L71">
        <v>212</v>
      </c>
      <c r="M71">
        <v>10.4</v>
      </c>
      <c r="N71" t="s">
        <v>1216</v>
      </c>
      <c r="O71">
        <v>25</v>
      </c>
      <c r="P71" t="s">
        <v>1217</v>
      </c>
      <c r="Q71" s="2">
        <f t="shared" si="2"/>
        <v>1667.54</v>
      </c>
      <c r="T71" s="2">
        <f t="shared" si="3"/>
        <v>0.1640326975476839</v>
      </c>
    </row>
    <row r="72" spans="1:20" x14ac:dyDescent="0.25">
      <c r="A72" t="s">
        <v>86</v>
      </c>
      <c r="B72" t="s">
        <v>318</v>
      </c>
      <c r="C72" t="s">
        <v>323</v>
      </c>
      <c r="D72" t="s">
        <v>332</v>
      </c>
      <c r="E72" t="s">
        <v>335</v>
      </c>
      <c r="F72" t="s">
        <v>351</v>
      </c>
      <c r="G72" t="s">
        <v>424</v>
      </c>
      <c r="H72">
        <v>208.7</v>
      </c>
      <c r="I72" t="s">
        <v>690</v>
      </c>
      <c r="J72" t="s">
        <v>987</v>
      </c>
      <c r="K72">
        <v>31.67</v>
      </c>
      <c r="L72">
        <v>68</v>
      </c>
      <c r="M72">
        <v>81</v>
      </c>
      <c r="N72" t="s">
        <v>1215</v>
      </c>
      <c r="O72">
        <v>10</v>
      </c>
      <c r="P72" t="s">
        <v>1217</v>
      </c>
      <c r="Q72" s="2">
        <f t="shared" si="2"/>
        <v>8772.59</v>
      </c>
      <c r="T72" s="2">
        <f t="shared" si="3"/>
        <v>0.15174892189746048</v>
      </c>
    </row>
    <row r="73" spans="1:20" x14ac:dyDescent="0.25">
      <c r="A73" t="s">
        <v>87</v>
      </c>
      <c r="B73" t="s">
        <v>317</v>
      </c>
      <c r="C73" t="s">
        <v>323</v>
      </c>
      <c r="D73" t="s">
        <v>331</v>
      </c>
      <c r="E73" t="s">
        <v>334</v>
      </c>
      <c r="F73" t="s">
        <v>354</v>
      </c>
      <c r="G73" t="s">
        <v>425</v>
      </c>
      <c r="H73">
        <v>208.1</v>
      </c>
      <c r="I73" t="s">
        <v>691</v>
      </c>
      <c r="J73" t="s">
        <v>988</v>
      </c>
      <c r="K73">
        <v>31.95</v>
      </c>
      <c r="L73">
        <v>86</v>
      </c>
      <c r="M73">
        <v>44</v>
      </c>
      <c r="N73" t="s">
        <v>1214</v>
      </c>
      <c r="O73">
        <v>15</v>
      </c>
      <c r="P73" t="s">
        <v>1217</v>
      </c>
      <c r="Q73" s="2">
        <f t="shared" si="2"/>
        <v>8850.15</v>
      </c>
      <c r="T73" s="2">
        <f t="shared" si="3"/>
        <v>0.15353195579048534</v>
      </c>
    </row>
    <row r="74" spans="1:20" x14ac:dyDescent="0.25">
      <c r="A74" t="s">
        <v>88</v>
      </c>
      <c r="B74" t="s">
        <v>316</v>
      </c>
      <c r="C74" t="s">
        <v>322</v>
      </c>
      <c r="D74" t="s">
        <v>331</v>
      </c>
      <c r="E74" t="s">
        <v>342</v>
      </c>
      <c r="F74" t="s">
        <v>351</v>
      </c>
      <c r="G74" t="s">
        <v>426</v>
      </c>
      <c r="H74">
        <v>221.3</v>
      </c>
      <c r="I74" t="s">
        <v>692</v>
      </c>
      <c r="J74" t="s">
        <v>989</v>
      </c>
      <c r="K74">
        <v>29.72</v>
      </c>
      <c r="L74">
        <v>58</v>
      </c>
      <c r="M74">
        <v>78</v>
      </c>
      <c r="N74" t="s">
        <v>1215</v>
      </c>
      <c r="O74">
        <v>0</v>
      </c>
      <c r="P74" t="s">
        <v>1218</v>
      </c>
      <c r="Q74" s="2">
        <f t="shared" si="2"/>
        <v>8232.44</v>
      </c>
      <c r="T74" s="2">
        <f t="shared" si="3"/>
        <v>0.13429733393583371</v>
      </c>
    </row>
    <row r="75" spans="1:20" x14ac:dyDescent="0.25">
      <c r="A75" t="s">
        <v>89</v>
      </c>
      <c r="B75" t="s">
        <v>318</v>
      </c>
      <c r="C75" t="s">
        <v>324</v>
      </c>
      <c r="D75" t="s">
        <v>328</v>
      </c>
      <c r="E75" t="s">
        <v>342</v>
      </c>
      <c r="F75" t="s">
        <v>352</v>
      </c>
      <c r="G75" t="s">
        <v>427</v>
      </c>
      <c r="H75">
        <v>110</v>
      </c>
      <c r="I75" t="s">
        <v>693</v>
      </c>
      <c r="J75" t="s">
        <v>864</v>
      </c>
      <c r="K75">
        <v>15.82</v>
      </c>
      <c r="L75">
        <v>181</v>
      </c>
      <c r="M75">
        <v>36.5</v>
      </c>
      <c r="N75" t="s">
        <v>1213</v>
      </c>
      <c r="O75">
        <v>0</v>
      </c>
      <c r="P75" t="s">
        <v>1218</v>
      </c>
      <c r="Q75" s="2">
        <f t="shared" si="2"/>
        <v>4382.1400000000003</v>
      </c>
      <c r="T75" s="2">
        <f t="shared" si="3"/>
        <v>0.14381818181818182</v>
      </c>
    </row>
    <row r="76" spans="1:20" x14ac:dyDescent="0.25">
      <c r="A76" t="s">
        <v>90</v>
      </c>
      <c r="B76" t="s">
        <v>319</v>
      </c>
      <c r="C76" t="s">
        <v>323</v>
      </c>
      <c r="D76" t="s">
        <v>331</v>
      </c>
      <c r="E76" t="s">
        <v>334</v>
      </c>
      <c r="F76" t="s">
        <v>349</v>
      </c>
      <c r="G76" t="s">
        <v>370</v>
      </c>
      <c r="H76">
        <v>230</v>
      </c>
      <c r="I76" t="s">
        <v>694</v>
      </c>
      <c r="J76" t="s">
        <v>990</v>
      </c>
      <c r="K76">
        <v>34.07</v>
      </c>
      <c r="L76">
        <v>239</v>
      </c>
      <c r="M76">
        <v>57.7</v>
      </c>
      <c r="N76" t="s">
        <v>1213</v>
      </c>
      <c r="O76">
        <v>25</v>
      </c>
      <c r="P76" t="s">
        <v>1217</v>
      </c>
      <c r="Q76" s="2">
        <f t="shared" si="2"/>
        <v>9437.39</v>
      </c>
      <c r="T76" s="2">
        <f t="shared" si="3"/>
        <v>0.14813043478260871</v>
      </c>
    </row>
    <row r="77" spans="1:20" x14ac:dyDescent="0.25">
      <c r="A77" t="s">
        <v>91</v>
      </c>
      <c r="B77" t="s">
        <v>320</v>
      </c>
      <c r="C77" t="s">
        <v>322</v>
      </c>
      <c r="D77" t="s">
        <v>327</v>
      </c>
      <c r="E77" t="s">
        <v>333</v>
      </c>
      <c r="F77" t="s">
        <v>350</v>
      </c>
      <c r="G77" t="s">
        <v>428</v>
      </c>
      <c r="H77">
        <v>173.8</v>
      </c>
      <c r="I77" t="s">
        <v>695</v>
      </c>
      <c r="J77" t="s">
        <v>991</v>
      </c>
      <c r="K77">
        <v>19.649999999999999</v>
      </c>
      <c r="L77">
        <v>61</v>
      </c>
      <c r="M77">
        <v>69</v>
      </c>
      <c r="N77" t="s">
        <v>1214</v>
      </c>
      <c r="O77">
        <v>15</v>
      </c>
      <c r="P77" t="s">
        <v>1217</v>
      </c>
      <c r="Q77" s="2">
        <f t="shared" si="2"/>
        <v>5443.0499999999993</v>
      </c>
      <c r="T77" s="2">
        <f t="shared" si="3"/>
        <v>0.11306098964326811</v>
      </c>
    </row>
    <row r="78" spans="1:20" x14ac:dyDescent="0.25">
      <c r="A78" t="s">
        <v>92</v>
      </c>
      <c r="B78" t="s">
        <v>320</v>
      </c>
      <c r="C78" t="s">
        <v>322</v>
      </c>
      <c r="D78" t="s">
        <v>327</v>
      </c>
      <c r="E78" t="s">
        <v>341</v>
      </c>
      <c r="F78" t="s">
        <v>349</v>
      </c>
      <c r="G78" t="s">
        <v>429</v>
      </c>
      <c r="H78">
        <v>198.9</v>
      </c>
      <c r="I78" t="s">
        <v>696</v>
      </c>
      <c r="J78" t="s">
        <v>992</v>
      </c>
      <c r="K78">
        <v>24.57</v>
      </c>
      <c r="L78">
        <v>118</v>
      </c>
      <c r="M78">
        <v>97</v>
      </c>
      <c r="N78" t="s">
        <v>1213</v>
      </c>
      <c r="O78">
        <v>0</v>
      </c>
      <c r="P78" t="s">
        <v>1218</v>
      </c>
      <c r="Q78" s="2">
        <f t="shared" si="2"/>
        <v>6805.89</v>
      </c>
      <c r="T78" s="2">
        <f t="shared" si="3"/>
        <v>0.12352941176470587</v>
      </c>
    </row>
    <row r="79" spans="1:20" x14ac:dyDescent="0.25">
      <c r="A79" t="s">
        <v>93</v>
      </c>
      <c r="B79" t="s">
        <v>316</v>
      </c>
      <c r="C79" t="s">
        <v>323</v>
      </c>
      <c r="D79" t="s">
        <v>327</v>
      </c>
      <c r="E79" t="s">
        <v>337</v>
      </c>
      <c r="F79" t="s">
        <v>348</v>
      </c>
      <c r="G79" t="s">
        <v>430</v>
      </c>
      <c r="H79">
        <v>212.8</v>
      </c>
      <c r="I79" t="s">
        <v>697</v>
      </c>
      <c r="J79" t="s">
        <v>993</v>
      </c>
      <c r="K79">
        <v>34.61</v>
      </c>
      <c r="L79">
        <v>228</v>
      </c>
      <c r="M79">
        <v>56</v>
      </c>
      <c r="N79" t="s">
        <v>1215</v>
      </c>
      <c r="O79">
        <v>5</v>
      </c>
      <c r="P79" t="s">
        <v>1217</v>
      </c>
      <c r="Q79" s="2">
        <f t="shared" si="2"/>
        <v>9586.9699999999993</v>
      </c>
      <c r="T79" s="2">
        <f t="shared" si="3"/>
        <v>0.162640977443609</v>
      </c>
    </row>
    <row r="80" spans="1:20" x14ac:dyDescent="0.25">
      <c r="A80" t="s">
        <v>94</v>
      </c>
      <c r="B80" t="s">
        <v>320</v>
      </c>
      <c r="C80" t="s">
        <v>322</v>
      </c>
      <c r="D80" t="s">
        <v>329</v>
      </c>
      <c r="E80" t="s">
        <v>338</v>
      </c>
      <c r="F80" t="s">
        <v>349</v>
      </c>
      <c r="G80" t="s">
        <v>431</v>
      </c>
      <c r="H80">
        <v>233.4</v>
      </c>
      <c r="I80" t="s">
        <v>698</v>
      </c>
      <c r="J80" t="s">
        <v>994</v>
      </c>
      <c r="K80">
        <v>33.65</v>
      </c>
      <c r="L80">
        <v>171</v>
      </c>
      <c r="M80">
        <v>81.900000000000006</v>
      </c>
      <c r="N80" t="s">
        <v>1214</v>
      </c>
      <c r="O80">
        <v>0</v>
      </c>
      <c r="P80" t="s">
        <v>1218</v>
      </c>
      <c r="Q80" s="2">
        <f t="shared" si="2"/>
        <v>9321.0499999999993</v>
      </c>
      <c r="T80" s="2">
        <f t="shared" si="3"/>
        <v>0.14417309340188517</v>
      </c>
    </row>
    <row r="81" spans="1:20" x14ac:dyDescent="0.25">
      <c r="A81" t="s">
        <v>95</v>
      </c>
      <c r="B81" t="s">
        <v>321</v>
      </c>
      <c r="C81" t="s">
        <v>323</v>
      </c>
      <c r="D81" t="s">
        <v>329</v>
      </c>
      <c r="E81" t="s">
        <v>344</v>
      </c>
      <c r="F81" t="s">
        <v>351</v>
      </c>
      <c r="G81" t="s">
        <v>432</v>
      </c>
      <c r="H81">
        <v>126.8</v>
      </c>
      <c r="I81" t="s">
        <v>699</v>
      </c>
      <c r="J81" t="s">
        <v>995</v>
      </c>
      <c r="K81">
        <v>15.18</v>
      </c>
      <c r="L81">
        <v>212</v>
      </c>
      <c r="M81">
        <v>35.9</v>
      </c>
      <c r="N81" t="s">
        <v>1216</v>
      </c>
      <c r="O81">
        <v>5</v>
      </c>
      <c r="P81" t="s">
        <v>1217</v>
      </c>
      <c r="Q81" s="2">
        <f t="shared" si="2"/>
        <v>4204.8599999999997</v>
      </c>
      <c r="T81" s="2">
        <f t="shared" si="3"/>
        <v>0.1197160883280757</v>
      </c>
    </row>
    <row r="82" spans="1:20" x14ac:dyDescent="0.25">
      <c r="A82" t="s">
        <v>96</v>
      </c>
      <c r="B82" t="s">
        <v>318</v>
      </c>
      <c r="C82" t="s">
        <v>325</v>
      </c>
      <c r="D82" t="s">
        <v>328</v>
      </c>
      <c r="E82" t="s">
        <v>339</v>
      </c>
      <c r="F82" t="s">
        <v>349</v>
      </c>
      <c r="G82" t="s">
        <v>433</v>
      </c>
      <c r="H82">
        <v>220.4</v>
      </c>
      <c r="I82" t="s">
        <v>700</v>
      </c>
      <c r="J82" t="s">
        <v>996</v>
      </c>
      <c r="K82">
        <v>24.66</v>
      </c>
      <c r="L82">
        <v>53</v>
      </c>
      <c r="M82">
        <v>84</v>
      </c>
      <c r="N82" t="s">
        <v>1214</v>
      </c>
      <c r="O82">
        <v>10</v>
      </c>
      <c r="P82" t="s">
        <v>1217</v>
      </c>
      <c r="Q82" s="2">
        <f t="shared" si="2"/>
        <v>6830.82</v>
      </c>
      <c r="T82" s="2">
        <f t="shared" si="3"/>
        <v>0.1118874773139746</v>
      </c>
    </row>
    <row r="83" spans="1:20" x14ac:dyDescent="0.25">
      <c r="A83" t="s">
        <v>97</v>
      </c>
      <c r="B83" t="s">
        <v>319</v>
      </c>
      <c r="C83" t="s">
        <v>323</v>
      </c>
      <c r="D83" t="s">
        <v>330</v>
      </c>
      <c r="E83" t="s">
        <v>344</v>
      </c>
      <c r="F83" t="s">
        <v>348</v>
      </c>
      <c r="G83" t="s">
        <v>434</v>
      </c>
      <c r="H83">
        <v>44.7</v>
      </c>
      <c r="I83" t="s">
        <v>701</v>
      </c>
      <c r="J83" t="s">
        <v>997</v>
      </c>
      <c r="K83">
        <v>6.04</v>
      </c>
      <c r="L83">
        <v>188</v>
      </c>
      <c r="M83">
        <v>14.3</v>
      </c>
      <c r="N83" t="s">
        <v>1214</v>
      </c>
      <c r="O83">
        <v>0</v>
      </c>
      <c r="P83" t="s">
        <v>1218</v>
      </c>
      <c r="Q83" s="2">
        <f t="shared" si="2"/>
        <v>1673.08</v>
      </c>
      <c r="T83" s="2">
        <f t="shared" si="3"/>
        <v>0.13512304250559284</v>
      </c>
    </row>
    <row r="84" spans="1:20" x14ac:dyDescent="0.25">
      <c r="A84" t="s">
        <v>98</v>
      </c>
      <c r="B84" t="s">
        <v>317</v>
      </c>
      <c r="C84" t="s">
        <v>322</v>
      </c>
      <c r="D84" t="s">
        <v>326</v>
      </c>
      <c r="E84" t="s">
        <v>343</v>
      </c>
      <c r="F84" t="s">
        <v>351</v>
      </c>
      <c r="G84" t="s">
        <v>435</v>
      </c>
      <c r="H84">
        <v>107.5</v>
      </c>
      <c r="I84" t="s">
        <v>702</v>
      </c>
      <c r="J84" t="s">
        <v>998</v>
      </c>
      <c r="K84">
        <v>14.33</v>
      </c>
      <c r="L84">
        <v>221</v>
      </c>
      <c r="M84">
        <v>29.2</v>
      </c>
      <c r="N84" t="s">
        <v>1214</v>
      </c>
      <c r="O84">
        <v>20</v>
      </c>
      <c r="P84" t="s">
        <v>1217</v>
      </c>
      <c r="Q84" s="2">
        <f t="shared" si="2"/>
        <v>3969.41</v>
      </c>
      <c r="T84" s="2">
        <f t="shared" si="3"/>
        <v>0.13330232558139535</v>
      </c>
    </row>
    <row r="85" spans="1:20" x14ac:dyDescent="0.25">
      <c r="A85" t="s">
        <v>99</v>
      </c>
      <c r="B85" t="s">
        <v>320</v>
      </c>
      <c r="C85" t="s">
        <v>324</v>
      </c>
      <c r="D85" t="s">
        <v>326</v>
      </c>
      <c r="E85" t="s">
        <v>346</v>
      </c>
      <c r="F85" t="s">
        <v>353</v>
      </c>
      <c r="G85" t="s">
        <v>436</v>
      </c>
      <c r="H85">
        <v>238.2</v>
      </c>
      <c r="I85" t="s">
        <v>703</v>
      </c>
      <c r="J85" t="s">
        <v>999</v>
      </c>
      <c r="K85">
        <v>33.97</v>
      </c>
      <c r="L85">
        <v>71</v>
      </c>
      <c r="M85">
        <v>78</v>
      </c>
      <c r="N85" t="s">
        <v>1216</v>
      </c>
      <c r="O85">
        <v>20</v>
      </c>
      <c r="P85" t="s">
        <v>1217</v>
      </c>
      <c r="Q85" s="2">
        <f t="shared" si="2"/>
        <v>9409.69</v>
      </c>
      <c r="T85" s="2">
        <f t="shared" si="3"/>
        <v>0.1426112510495382</v>
      </c>
    </row>
    <row r="86" spans="1:20" x14ac:dyDescent="0.25">
      <c r="A86" t="s">
        <v>100</v>
      </c>
      <c r="B86" t="s">
        <v>318</v>
      </c>
      <c r="C86" t="s">
        <v>322</v>
      </c>
      <c r="D86" t="s">
        <v>331</v>
      </c>
      <c r="E86" t="s">
        <v>338</v>
      </c>
      <c r="F86" t="s">
        <v>354</v>
      </c>
      <c r="G86" t="s">
        <v>437</v>
      </c>
      <c r="H86">
        <v>237.3</v>
      </c>
      <c r="I86" t="s">
        <v>704</v>
      </c>
      <c r="J86" t="s">
        <v>1000</v>
      </c>
      <c r="K86">
        <v>33.36</v>
      </c>
      <c r="L86">
        <v>240</v>
      </c>
      <c r="M86">
        <v>59.3</v>
      </c>
      <c r="N86" t="s">
        <v>1214</v>
      </c>
      <c r="O86">
        <v>20</v>
      </c>
      <c r="P86" t="s">
        <v>1217</v>
      </c>
      <c r="Q86" s="2">
        <f t="shared" si="2"/>
        <v>9240.7199999999993</v>
      </c>
      <c r="T86" s="2">
        <f t="shared" si="3"/>
        <v>0.14058154235145384</v>
      </c>
    </row>
    <row r="87" spans="1:20" x14ac:dyDescent="0.25">
      <c r="A87" t="s">
        <v>101</v>
      </c>
      <c r="B87" t="s">
        <v>318</v>
      </c>
      <c r="C87" t="s">
        <v>323</v>
      </c>
      <c r="D87" t="s">
        <v>331</v>
      </c>
      <c r="E87" t="s">
        <v>344</v>
      </c>
      <c r="F87" t="s">
        <v>352</v>
      </c>
      <c r="G87" t="s">
        <v>438</v>
      </c>
      <c r="H87">
        <v>15.1</v>
      </c>
      <c r="I87" t="s">
        <v>705</v>
      </c>
      <c r="J87" t="s">
        <v>1001</v>
      </c>
      <c r="K87">
        <v>2.33</v>
      </c>
      <c r="L87">
        <v>234</v>
      </c>
      <c r="M87">
        <v>3.9</v>
      </c>
      <c r="N87" t="s">
        <v>1216</v>
      </c>
      <c r="O87">
        <v>20</v>
      </c>
      <c r="P87" t="s">
        <v>1217</v>
      </c>
      <c r="Q87" s="2">
        <f t="shared" si="2"/>
        <v>645.41</v>
      </c>
      <c r="T87" s="2">
        <f t="shared" si="3"/>
        <v>0.15430463576158943</v>
      </c>
    </row>
    <row r="88" spans="1:20" x14ac:dyDescent="0.25">
      <c r="A88" t="s">
        <v>102</v>
      </c>
      <c r="B88" t="s">
        <v>317</v>
      </c>
      <c r="C88" t="s">
        <v>324</v>
      </c>
      <c r="D88" t="s">
        <v>330</v>
      </c>
      <c r="E88" t="s">
        <v>340</v>
      </c>
      <c r="F88" t="s">
        <v>349</v>
      </c>
      <c r="G88" t="s">
        <v>368</v>
      </c>
      <c r="H88">
        <v>24</v>
      </c>
      <c r="I88" t="s">
        <v>706</v>
      </c>
      <c r="J88" t="s">
        <v>1002</v>
      </c>
      <c r="K88">
        <v>3.2</v>
      </c>
      <c r="L88">
        <v>228</v>
      </c>
      <c r="M88">
        <v>6.3</v>
      </c>
      <c r="N88" t="s">
        <v>1216</v>
      </c>
      <c r="O88">
        <v>0</v>
      </c>
      <c r="P88" t="s">
        <v>1218</v>
      </c>
      <c r="Q88" s="2">
        <f t="shared" si="2"/>
        <v>886.40000000000009</v>
      </c>
      <c r="T88" s="2">
        <f t="shared" si="3"/>
        <v>0.13333333333333333</v>
      </c>
    </row>
    <row r="89" spans="1:20" x14ac:dyDescent="0.25">
      <c r="A89" t="s">
        <v>103</v>
      </c>
      <c r="B89" t="s">
        <v>318</v>
      </c>
      <c r="C89" t="s">
        <v>322</v>
      </c>
      <c r="D89" t="s">
        <v>329</v>
      </c>
      <c r="E89" t="s">
        <v>338</v>
      </c>
      <c r="F89" t="s">
        <v>354</v>
      </c>
      <c r="G89" t="s">
        <v>439</v>
      </c>
      <c r="H89">
        <v>181.9</v>
      </c>
      <c r="I89" t="s">
        <v>707</v>
      </c>
      <c r="J89" t="s">
        <v>1003</v>
      </c>
      <c r="K89">
        <v>24.99</v>
      </c>
      <c r="L89">
        <v>221</v>
      </c>
      <c r="M89">
        <v>49.4</v>
      </c>
      <c r="N89" t="s">
        <v>1215</v>
      </c>
      <c r="O89">
        <v>5</v>
      </c>
      <c r="P89" t="s">
        <v>1217</v>
      </c>
      <c r="Q89" s="2">
        <f t="shared" si="2"/>
        <v>6922.23</v>
      </c>
      <c r="T89" s="2">
        <f t="shared" si="3"/>
        <v>0.13738317757009344</v>
      </c>
    </row>
    <row r="90" spans="1:20" x14ac:dyDescent="0.25">
      <c r="A90" t="s">
        <v>104</v>
      </c>
      <c r="B90" t="s">
        <v>318</v>
      </c>
      <c r="C90" t="s">
        <v>324</v>
      </c>
      <c r="D90" t="s">
        <v>326</v>
      </c>
      <c r="E90" t="s">
        <v>334</v>
      </c>
      <c r="F90" t="s">
        <v>351</v>
      </c>
      <c r="G90" t="s">
        <v>440</v>
      </c>
      <c r="H90">
        <v>204.5</v>
      </c>
      <c r="I90" t="s">
        <v>708</v>
      </c>
      <c r="J90" t="s">
        <v>1004</v>
      </c>
      <c r="K90">
        <v>32.590000000000003</v>
      </c>
      <c r="L90">
        <v>60</v>
      </c>
      <c r="M90">
        <v>57</v>
      </c>
      <c r="N90" t="s">
        <v>1215</v>
      </c>
      <c r="O90">
        <v>20</v>
      </c>
      <c r="P90" t="s">
        <v>1217</v>
      </c>
      <c r="Q90" s="2">
        <f t="shared" si="2"/>
        <v>9027.43</v>
      </c>
      <c r="T90" s="2">
        <f t="shared" si="3"/>
        <v>0.15936430317848413</v>
      </c>
    </row>
    <row r="91" spans="1:20" x14ac:dyDescent="0.25">
      <c r="A91" t="s">
        <v>105</v>
      </c>
      <c r="B91" t="s">
        <v>318</v>
      </c>
      <c r="C91" t="s">
        <v>323</v>
      </c>
      <c r="D91" t="s">
        <v>332</v>
      </c>
      <c r="E91" t="s">
        <v>343</v>
      </c>
      <c r="F91" t="s">
        <v>353</v>
      </c>
      <c r="G91" t="s">
        <v>441</v>
      </c>
      <c r="H91">
        <v>203.8</v>
      </c>
      <c r="I91" t="s">
        <v>709</v>
      </c>
      <c r="J91" t="s">
        <v>1005</v>
      </c>
      <c r="K91">
        <v>25.06</v>
      </c>
      <c r="L91">
        <v>229</v>
      </c>
      <c r="M91">
        <v>53.4</v>
      </c>
      <c r="N91" t="s">
        <v>1214</v>
      </c>
      <c r="O91">
        <v>15</v>
      </c>
      <c r="P91" t="s">
        <v>1217</v>
      </c>
      <c r="Q91" s="2">
        <f t="shared" si="2"/>
        <v>6941.62</v>
      </c>
      <c r="T91" s="2">
        <f t="shared" si="3"/>
        <v>0.12296368989205102</v>
      </c>
    </row>
    <row r="92" spans="1:20" x14ac:dyDescent="0.25">
      <c r="A92" t="s">
        <v>106</v>
      </c>
      <c r="B92" t="s">
        <v>319</v>
      </c>
      <c r="C92" t="s">
        <v>322</v>
      </c>
      <c r="D92" t="s">
        <v>326</v>
      </c>
      <c r="E92" t="s">
        <v>338</v>
      </c>
      <c r="F92" t="s">
        <v>351</v>
      </c>
      <c r="G92" t="s">
        <v>442</v>
      </c>
      <c r="H92">
        <v>10.3</v>
      </c>
      <c r="I92" t="s">
        <v>710</v>
      </c>
      <c r="J92" t="s">
        <v>1006</v>
      </c>
      <c r="K92">
        <v>1.42</v>
      </c>
      <c r="L92">
        <v>115</v>
      </c>
      <c r="M92">
        <v>5.4</v>
      </c>
      <c r="N92" t="s">
        <v>1214</v>
      </c>
      <c r="O92">
        <v>15</v>
      </c>
      <c r="P92" t="s">
        <v>1217</v>
      </c>
      <c r="Q92" s="2">
        <f t="shared" si="2"/>
        <v>393.34</v>
      </c>
      <c r="T92" s="2">
        <f t="shared" si="3"/>
        <v>0.13786407766990288</v>
      </c>
    </row>
    <row r="93" spans="1:20" x14ac:dyDescent="0.25">
      <c r="A93" t="s">
        <v>107</v>
      </c>
      <c r="B93" t="s">
        <v>320</v>
      </c>
      <c r="C93" t="s">
        <v>323</v>
      </c>
      <c r="D93" t="s">
        <v>327</v>
      </c>
      <c r="E93" t="s">
        <v>343</v>
      </c>
      <c r="F93" t="s">
        <v>352</v>
      </c>
      <c r="G93" t="s">
        <v>443</v>
      </c>
      <c r="H93">
        <v>146</v>
      </c>
      <c r="I93" t="s">
        <v>711</v>
      </c>
      <c r="J93" t="s">
        <v>1007</v>
      </c>
      <c r="K93">
        <v>16.64</v>
      </c>
      <c r="L93">
        <v>205</v>
      </c>
      <c r="M93">
        <v>42.7</v>
      </c>
      <c r="N93" t="s">
        <v>1214</v>
      </c>
      <c r="O93">
        <v>0</v>
      </c>
      <c r="P93" t="s">
        <v>1218</v>
      </c>
      <c r="Q93" s="2">
        <f t="shared" si="2"/>
        <v>4609.28</v>
      </c>
      <c r="T93" s="2">
        <f t="shared" si="3"/>
        <v>0.11397260273972604</v>
      </c>
    </row>
    <row r="94" spans="1:20" x14ac:dyDescent="0.25">
      <c r="A94" t="s">
        <v>108</v>
      </c>
      <c r="B94" t="s">
        <v>321</v>
      </c>
      <c r="C94" t="s">
        <v>325</v>
      </c>
      <c r="D94" t="s">
        <v>326</v>
      </c>
      <c r="E94" t="s">
        <v>340</v>
      </c>
      <c r="F94" t="s">
        <v>348</v>
      </c>
      <c r="G94" t="s">
        <v>444</v>
      </c>
      <c r="H94">
        <v>127.6</v>
      </c>
      <c r="I94" t="s">
        <v>712</v>
      </c>
      <c r="J94" t="s">
        <v>1008</v>
      </c>
      <c r="K94">
        <v>15.45</v>
      </c>
      <c r="L94">
        <v>151</v>
      </c>
      <c r="M94">
        <v>50.7</v>
      </c>
      <c r="N94" t="s">
        <v>1213</v>
      </c>
      <c r="O94">
        <v>25</v>
      </c>
      <c r="P94" t="s">
        <v>1217</v>
      </c>
      <c r="Q94" s="2">
        <f t="shared" si="2"/>
        <v>4279.6499999999996</v>
      </c>
      <c r="T94" s="2">
        <f t="shared" si="3"/>
        <v>0.12108150470219435</v>
      </c>
    </row>
    <row r="95" spans="1:20" x14ac:dyDescent="0.25">
      <c r="A95" t="s">
        <v>109</v>
      </c>
      <c r="B95" t="s">
        <v>316</v>
      </c>
      <c r="C95" t="s">
        <v>325</v>
      </c>
      <c r="D95" t="s">
        <v>332</v>
      </c>
      <c r="E95" t="s">
        <v>347</v>
      </c>
      <c r="F95" t="s">
        <v>351</v>
      </c>
      <c r="G95" t="s">
        <v>445</v>
      </c>
      <c r="H95">
        <v>31.9</v>
      </c>
      <c r="I95" t="s">
        <v>713</v>
      </c>
      <c r="J95" t="s">
        <v>1009</v>
      </c>
      <c r="K95">
        <v>4.4000000000000004</v>
      </c>
      <c r="L95">
        <v>67</v>
      </c>
      <c r="M95">
        <v>28.6</v>
      </c>
      <c r="N95" t="s">
        <v>1215</v>
      </c>
      <c r="O95">
        <v>10</v>
      </c>
      <c r="P95" t="s">
        <v>1217</v>
      </c>
      <c r="Q95" s="2">
        <f t="shared" si="2"/>
        <v>1218.8000000000002</v>
      </c>
      <c r="T95" s="2">
        <f t="shared" si="3"/>
        <v>0.13793103448275865</v>
      </c>
    </row>
    <row r="96" spans="1:20" x14ac:dyDescent="0.25">
      <c r="A96" t="s">
        <v>110</v>
      </c>
      <c r="B96" t="s">
        <v>321</v>
      </c>
      <c r="C96" t="s">
        <v>325</v>
      </c>
      <c r="D96" t="s">
        <v>330</v>
      </c>
      <c r="E96" t="s">
        <v>343</v>
      </c>
      <c r="F96" t="s">
        <v>354</v>
      </c>
      <c r="G96" t="s">
        <v>446</v>
      </c>
      <c r="H96">
        <v>13.5</v>
      </c>
      <c r="I96" t="s">
        <v>714</v>
      </c>
      <c r="J96" t="s">
        <v>1010</v>
      </c>
      <c r="K96">
        <v>1.6</v>
      </c>
      <c r="L96">
        <v>205</v>
      </c>
      <c r="M96">
        <v>4</v>
      </c>
      <c r="N96" t="s">
        <v>1213</v>
      </c>
      <c r="O96">
        <v>20</v>
      </c>
      <c r="P96" t="s">
        <v>1217</v>
      </c>
      <c r="Q96" s="2">
        <f t="shared" si="2"/>
        <v>443.20000000000005</v>
      </c>
      <c r="T96" s="2">
        <f t="shared" si="3"/>
        <v>0.11851851851851852</v>
      </c>
    </row>
    <row r="97" spans="1:20" x14ac:dyDescent="0.25">
      <c r="A97" t="s">
        <v>111</v>
      </c>
      <c r="B97" t="s">
        <v>319</v>
      </c>
      <c r="C97" t="s">
        <v>322</v>
      </c>
      <c r="D97" t="s">
        <v>331</v>
      </c>
      <c r="E97" t="s">
        <v>346</v>
      </c>
      <c r="F97" t="s">
        <v>352</v>
      </c>
      <c r="G97" t="s">
        <v>447</v>
      </c>
      <c r="H97">
        <v>195.9</v>
      </c>
      <c r="I97" t="s">
        <v>715</v>
      </c>
      <c r="J97" t="s">
        <v>1011</v>
      </c>
      <c r="K97">
        <v>24.52</v>
      </c>
      <c r="L97">
        <v>93</v>
      </c>
      <c r="M97">
        <v>76</v>
      </c>
      <c r="N97" t="s">
        <v>1215</v>
      </c>
      <c r="O97">
        <v>25</v>
      </c>
      <c r="P97" t="s">
        <v>1217</v>
      </c>
      <c r="Q97" s="2">
        <f t="shared" si="2"/>
        <v>6792.04</v>
      </c>
      <c r="T97" s="2">
        <f t="shared" si="3"/>
        <v>0.12516590096988259</v>
      </c>
    </row>
    <row r="98" spans="1:20" x14ac:dyDescent="0.25">
      <c r="A98" t="s">
        <v>112</v>
      </c>
      <c r="B98" t="s">
        <v>317</v>
      </c>
      <c r="C98" t="s">
        <v>325</v>
      </c>
      <c r="D98" t="s">
        <v>326</v>
      </c>
      <c r="E98" t="s">
        <v>342</v>
      </c>
      <c r="F98" t="s">
        <v>352</v>
      </c>
      <c r="G98" t="s">
        <v>448</v>
      </c>
      <c r="H98">
        <v>207.6</v>
      </c>
      <c r="I98" t="s">
        <v>716</v>
      </c>
      <c r="J98" t="s">
        <v>1012</v>
      </c>
      <c r="K98">
        <v>28.01</v>
      </c>
      <c r="L98">
        <v>74</v>
      </c>
      <c r="M98">
        <v>70</v>
      </c>
      <c r="N98" t="s">
        <v>1214</v>
      </c>
      <c r="O98">
        <v>0</v>
      </c>
      <c r="P98" t="s">
        <v>1218</v>
      </c>
      <c r="Q98" s="2">
        <f t="shared" si="2"/>
        <v>7758.77</v>
      </c>
      <c r="T98" s="2">
        <f t="shared" si="3"/>
        <v>0.13492292870905589</v>
      </c>
    </row>
    <row r="99" spans="1:20" x14ac:dyDescent="0.25">
      <c r="A99" t="s">
        <v>113</v>
      </c>
      <c r="B99" t="s">
        <v>320</v>
      </c>
      <c r="C99" t="s">
        <v>325</v>
      </c>
      <c r="D99" t="s">
        <v>332</v>
      </c>
      <c r="E99" t="s">
        <v>346</v>
      </c>
      <c r="F99" t="s">
        <v>348</v>
      </c>
      <c r="G99" t="s">
        <v>449</v>
      </c>
      <c r="H99">
        <v>159.80000000000001</v>
      </c>
      <c r="I99" t="s">
        <v>717</v>
      </c>
      <c r="J99" t="s">
        <v>1013</v>
      </c>
      <c r="K99">
        <v>25.5</v>
      </c>
      <c r="L99">
        <v>205</v>
      </c>
      <c r="M99">
        <v>46.8</v>
      </c>
      <c r="N99" t="s">
        <v>1214</v>
      </c>
      <c r="O99">
        <v>15</v>
      </c>
      <c r="P99" t="s">
        <v>1217</v>
      </c>
      <c r="Q99" s="2">
        <f t="shared" si="2"/>
        <v>7063.5</v>
      </c>
      <c r="T99" s="2">
        <f t="shared" si="3"/>
        <v>0.15957446808510636</v>
      </c>
    </row>
    <row r="100" spans="1:20" x14ac:dyDescent="0.25">
      <c r="A100" t="s">
        <v>114</v>
      </c>
      <c r="B100" t="s">
        <v>318</v>
      </c>
      <c r="C100" t="s">
        <v>324</v>
      </c>
      <c r="D100" t="s">
        <v>330</v>
      </c>
      <c r="E100" t="s">
        <v>339</v>
      </c>
      <c r="F100" t="s">
        <v>352</v>
      </c>
      <c r="G100" t="s">
        <v>450</v>
      </c>
      <c r="H100">
        <v>227.4</v>
      </c>
      <c r="I100" t="s">
        <v>718</v>
      </c>
      <c r="J100" t="s">
        <v>1014</v>
      </c>
      <c r="K100">
        <v>27.44</v>
      </c>
      <c r="L100">
        <v>112</v>
      </c>
      <c r="M100">
        <v>63</v>
      </c>
      <c r="N100" t="s">
        <v>1213</v>
      </c>
      <c r="O100">
        <v>0</v>
      </c>
      <c r="P100" t="s">
        <v>1218</v>
      </c>
      <c r="Q100" s="2">
        <f t="shared" si="2"/>
        <v>7600.88</v>
      </c>
      <c r="T100" s="2">
        <f t="shared" si="3"/>
        <v>0.1206684256816183</v>
      </c>
    </row>
    <row r="101" spans="1:20" x14ac:dyDescent="0.25">
      <c r="A101" t="s">
        <v>115</v>
      </c>
      <c r="B101" t="s">
        <v>321</v>
      </c>
      <c r="C101" t="s">
        <v>323</v>
      </c>
      <c r="D101" t="s">
        <v>327</v>
      </c>
      <c r="E101" t="s">
        <v>346</v>
      </c>
      <c r="F101" t="s">
        <v>350</v>
      </c>
      <c r="G101" t="s">
        <v>451</v>
      </c>
      <c r="H101">
        <v>135.69999999999999</v>
      </c>
      <c r="I101" t="s">
        <v>719</v>
      </c>
      <c r="J101" t="s">
        <v>1015</v>
      </c>
      <c r="K101">
        <v>17.18</v>
      </c>
      <c r="L101">
        <v>176</v>
      </c>
      <c r="M101">
        <v>46.3</v>
      </c>
      <c r="N101" t="s">
        <v>1215</v>
      </c>
      <c r="O101">
        <v>5</v>
      </c>
      <c r="P101" t="s">
        <v>1217</v>
      </c>
      <c r="Q101" s="2">
        <f t="shared" si="2"/>
        <v>4758.8599999999997</v>
      </c>
      <c r="T101" s="2">
        <f t="shared" si="3"/>
        <v>0.12660280029476789</v>
      </c>
    </row>
    <row r="102" spans="1:20" x14ac:dyDescent="0.25">
      <c r="A102" t="s">
        <v>116</v>
      </c>
      <c r="B102" t="s">
        <v>321</v>
      </c>
      <c r="C102" t="s">
        <v>324</v>
      </c>
      <c r="D102" t="s">
        <v>329</v>
      </c>
      <c r="E102" t="s">
        <v>336</v>
      </c>
      <c r="F102" t="s">
        <v>351</v>
      </c>
      <c r="G102" t="s">
        <v>452</v>
      </c>
      <c r="H102">
        <v>167.2</v>
      </c>
      <c r="I102" t="s">
        <v>720</v>
      </c>
      <c r="J102" t="s">
        <v>1016</v>
      </c>
      <c r="K102">
        <v>20.350000000000001</v>
      </c>
      <c r="L102">
        <v>81</v>
      </c>
      <c r="M102">
        <v>60</v>
      </c>
      <c r="N102" t="s">
        <v>1214</v>
      </c>
      <c r="O102">
        <v>5</v>
      </c>
      <c r="P102" t="s">
        <v>1217</v>
      </c>
      <c r="Q102" s="2">
        <f t="shared" si="2"/>
        <v>5636.9500000000007</v>
      </c>
      <c r="T102" s="2">
        <f t="shared" si="3"/>
        <v>0.12171052631578949</v>
      </c>
    </row>
    <row r="103" spans="1:20" x14ac:dyDescent="0.25">
      <c r="A103" t="s">
        <v>117</v>
      </c>
      <c r="B103" t="s">
        <v>321</v>
      </c>
      <c r="C103" t="s">
        <v>322</v>
      </c>
      <c r="D103" t="s">
        <v>331</v>
      </c>
      <c r="E103" t="s">
        <v>345</v>
      </c>
      <c r="F103" t="s">
        <v>352</v>
      </c>
      <c r="G103" t="s">
        <v>453</v>
      </c>
      <c r="H103">
        <v>27.8</v>
      </c>
      <c r="I103" t="s">
        <v>721</v>
      </c>
      <c r="J103" t="s">
        <v>1017</v>
      </c>
      <c r="K103">
        <v>4.42</v>
      </c>
      <c r="L103">
        <v>215</v>
      </c>
      <c r="M103">
        <v>7.8</v>
      </c>
      <c r="N103" t="s">
        <v>1213</v>
      </c>
      <c r="O103">
        <v>10</v>
      </c>
      <c r="P103" t="s">
        <v>1217</v>
      </c>
      <c r="Q103" s="2">
        <f t="shared" si="2"/>
        <v>1224.3399999999999</v>
      </c>
      <c r="T103" s="2">
        <f t="shared" si="3"/>
        <v>0.15899280575539568</v>
      </c>
    </row>
    <row r="104" spans="1:20" x14ac:dyDescent="0.25">
      <c r="A104" t="s">
        <v>118</v>
      </c>
      <c r="B104" t="s">
        <v>321</v>
      </c>
      <c r="C104" t="s">
        <v>322</v>
      </c>
      <c r="D104" t="s">
        <v>332</v>
      </c>
      <c r="E104" t="s">
        <v>340</v>
      </c>
      <c r="F104" t="s">
        <v>349</v>
      </c>
      <c r="G104" t="s">
        <v>454</v>
      </c>
      <c r="H104">
        <v>64.2</v>
      </c>
      <c r="I104" t="s">
        <v>722</v>
      </c>
      <c r="J104" t="s">
        <v>1018</v>
      </c>
      <c r="K104">
        <v>8.65</v>
      </c>
      <c r="L104">
        <v>128</v>
      </c>
      <c r="M104">
        <v>30.1</v>
      </c>
      <c r="N104" t="s">
        <v>1214</v>
      </c>
      <c r="O104">
        <v>20</v>
      </c>
      <c r="P104" t="s">
        <v>1217</v>
      </c>
      <c r="Q104" s="2">
        <f t="shared" si="2"/>
        <v>2396.0500000000002</v>
      </c>
      <c r="T104" s="2">
        <f t="shared" si="3"/>
        <v>0.13473520249221183</v>
      </c>
    </row>
    <row r="105" spans="1:20" x14ac:dyDescent="0.25">
      <c r="A105" t="s">
        <v>119</v>
      </c>
      <c r="B105" t="s">
        <v>319</v>
      </c>
      <c r="C105" t="s">
        <v>324</v>
      </c>
      <c r="D105" t="s">
        <v>328</v>
      </c>
      <c r="E105" t="s">
        <v>339</v>
      </c>
      <c r="F105" t="s">
        <v>348</v>
      </c>
      <c r="G105" t="s">
        <v>455</v>
      </c>
      <c r="H105">
        <v>120</v>
      </c>
      <c r="I105" t="s">
        <v>723</v>
      </c>
      <c r="J105" t="s">
        <v>1019</v>
      </c>
      <c r="K105">
        <v>15.59</v>
      </c>
      <c r="L105">
        <v>122</v>
      </c>
      <c r="M105">
        <v>59</v>
      </c>
      <c r="N105" t="s">
        <v>1213</v>
      </c>
      <c r="O105">
        <v>0</v>
      </c>
      <c r="P105" t="s">
        <v>1218</v>
      </c>
      <c r="Q105" s="2">
        <f t="shared" si="2"/>
        <v>4318.43</v>
      </c>
      <c r="T105" s="2">
        <f t="shared" si="3"/>
        <v>0.12991666666666665</v>
      </c>
    </row>
    <row r="106" spans="1:20" x14ac:dyDescent="0.25">
      <c r="A106" t="s">
        <v>120</v>
      </c>
      <c r="B106" t="s">
        <v>316</v>
      </c>
      <c r="C106" t="s">
        <v>323</v>
      </c>
      <c r="D106" t="s">
        <v>327</v>
      </c>
      <c r="E106" t="s">
        <v>341</v>
      </c>
      <c r="F106" t="s">
        <v>353</v>
      </c>
      <c r="G106" t="s">
        <v>456</v>
      </c>
      <c r="H106">
        <v>91.8</v>
      </c>
      <c r="I106" t="s">
        <v>724</v>
      </c>
      <c r="J106" t="s">
        <v>1020</v>
      </c>
      <c r="K106">
        <v>13.36</v>
      </c>
      <c r="L106">
        <v>229</v>
      </c>
      <c r="M106">
        <v>24.1</v>
      </c>
      <c r="N106" t="s">
        <v>1214</v>
      </c>
      <c r="O106">
        <v>5</v>
      </c>
      <c r="P106" t="s">
        <v>1217</v>
      </c>
      <c r="Q106" s="2">
        <f t="shared" si="2"/>
        <v>3700.72</v>
      </c>
      <c r="T106" s="2">
        <f t="shared" si="3"/>
        <v>0.14553376906318083</v>
      </c>
    </row>
    <row r="107" spans="1:20" x14ac:dyDescent="0.25">
      <c r="A107" t="s">
        <v>121</v>
      </c>
      <c r="B107" t="s">
        <v>316</v>
      </c>
      <c r="C107" t="s">
        <v>322</v>
      </c>
      <c r="D107" t="s">
        <v>327</v>
      </c>
      <c r="E107" t="s">
        <v>345</v>
      </c>
      <c r="F107" t="s">
        <v>351</v>
      </c>
      <c r="G107" t="s">
        <v>457</v>
      </c>
      <c r="H107">
        <v>211.6</v>
      </c>
      <c r="I107" t="s">
        <v>725</v>
      </c>
      <c r="J107" t="s">
        <v>1021</v>
      </c>
      <c r="K107">
        <v>30.43</v>
      </c>
      <c r="L107">
        <v>111</v>
      </c>
      <c r="M107">
        <v>62</v>
      </c>
      <c r="N107" t="s">
        <v>1216</v>
      </c>
      <c r="O107">
        <v>10</v>
      </c>
      <c r="P107" t="s">
        <v>1217</v>
      </c>
      <c r="Q107" s="2">
        <f t="shared" si="2"/>
        <v>8429.11</v>
      </c>
      <c r="T107" s="2">
        <f t="shared" si="3"/>
        <v>0.14380907372400756</v>
      </c>
    </row>
    <row r="108" spans="1:20" x14ac:dyDescent="0.25">
      <c r="A108" t="s">
        <v>122</v>
      </c>
      <c r="B108" t="s">
        <v>317</v>
      </c>
      <c r="C108" t="s">
        <v>322</v>
      </c>
      <c r="D108" t="s">
        <v>330</v>
      </c>
      <c r="E108" t="s">
        <v>337</v>
      </c>
      <c r="F108" t="s">
        <v>354</v>
      </c>
      <c r="G108" t="s">
        <v>458</v>
      </c>
      <c r="H108">
        <v>197.6</v>
      </c>
      <c r="I108" t="s">
        <v>726</v>
      </c>
      <c r="J108" t="s">
        <v>1022</v>
      </c>
      <c r="K108">
        <v>29.21</v>
      </c>
      <c r="L108">
        <v>183</v>
      </c>
      <c r="M108">
        <v>64.8</v>
      </c>
      <c r="N108" t="s">
        <v>1215</v>
      </c>
      <c r="O108">
        <v>10</v>
      </c>
      <c r="P108" t="s">
        <v>1217</v>
      </c>
      <c r="Q108" s="2">
        <f t="shared" si="2"/>
        <v>8091.17</v>
      </c>
      <c r="T108" s="2">
        <f t="shared" si="3"/>
        <v>0.14782388663967613</v>
      </c>
    </row>
    <row r="109" spans="1:20" x14ac:dyDescent="0.25">
      <c r="A109" t="s">
        <v>123</v>
      </c>
      <c r="B109" t="s">
        <v>318</v>
      </c>
      <c r="C109" t="s">
        <v>325</v>
      </c>
      <c r="D109" t="s">
        <v>332</v>
      </c>
      <c r="E109" t="s">
        <v>342</v>
      </c>
      <c r="F109" t="s">
        <v>349</v>
      </c>
      <c r="G109" t="s">
        <v>459</v>
      </c>
      <c r="H109">
        <v>215.4</v>
      </c>
      <c r="I109" t="s">
        <v>727</v>
      </c>
      <c r="J109" t="s">
        <v>1023</v>
      </c>
      <c r="K109">
        <v>29.63</v>
      </c>
      <c r="L109">
        <v>196</v>
      </c>
      <c r="M109">
        <v>65.900000000000006</v>
      </c>
      <c r="N109" t="s">
        <v>1214</v>
      </c>
      <c r="O109">
        <v>20</v>
      </c>
      <c r="P109" t="s">
        <v>1217</v>
      </c>
      <c r="Q109" s="2">
        <f t="shared" si="2"/>
        <v>8207.51</v>
      </c>
      <c r="T109" s="2">
        <f t="shared" si="3"/>
        <v>0.13755803156917362</v>
      </c>
    </row>
    <row r="110" spans="1:20" x14ac:dyDescent="0.25">
      <c r="A110" t="s">
        <v>124</v>
      </c>
      <c r="B110" t="s">
        <v>318</v>
      </c>
      <c r="C110" t="s">
        <v>325</v>
      </c>
      <c r="D110" t="s">
        <v>330</v>
      </c>
      <c r="E110" t="s">
        <v>338</v>
      </c>
      <c r="F110" t="s">
        <v>353</v>
      </c>
      <c r="G110" t="s">
        <v>404</v>
      </c>
      <c r="H110">
        <v>36.299999999999997</v>
      </c>
      <c r="I110" t="s">
        <v>728</v>
      </c>
      <c r="J110" t="s">
        <v>1024</v>
      </c>
      <c r="K110">
        <v>5.01</v>
      </c>
      <c r="L110">
        <v>74</v>
      </c>
      <c r="M110">
        <v>29.4</v>
      </c>
      <c r="N110" t="s">
        <v>1215</v>
      </c>
      <c r="O110">
        <v>15</v>
      </c>
      <c r="P110" t="s">
        <v>1217</v>
      </c>
      <c r="Q110" s="2">
        <f t="shared" si="2"/>
        <v>1387.77</v>
      </c>
      <c r="T110" s="2">
        <f t="shared" si="3"/>
        <v>0.13801652892561983</v>
      </c>
    </row>
    <row r="111" spans="1:20" x14ac:dyDescent="0.25">
      <c r="A111" t="s">
        <v>125</v>
      </c>
      <c r="B111" t="s">
        <v>317</v>
      </c>
      <c r="C111" t="s">
        <v>324</v>
      </c>
      <c r="D111" t="s">
        <v>327</v>
      </c>
      <c r="E111" t="s">
        <v>339</v>
      </c>
      <c r="F111" t="s">
        <v>353</v>
      </c>
      <c r="G111" t="s">
        <v>401</v>
      </c>
      <c r="H111">
        <v>110.5</v>
      </c>
      <c r="I111" t="s">
        <v>729</v>
      </c>
      <c r="J111" t="s">
        <v>1025</v>
      </c>
      <c r="K111">
        <v>14.94</v>
      </c>
      <c r="L111">
        <v>85</v>
      </c>
      <c r="M111">
        <v>78</v>
      </c>
      <c r="N111" t="s">
        <v>1216</v>
      </c>
      <c r="O111">
        <v>0</v>
      </c>
      <c r="P111" t="s">
        <v>1218</v>
      </c>
      <c r="Q111" s="2">
        <f t="shared" si="2"/>
        <v>4138.38</v>
      </c>
      <c r="T111" s="2">
        <f t="shared" si="3"/>
        <v>0.13520361990950225</v>
      </c>
    </row>
    <row r="112" spans="1:20" x14ac:dyDescent="0.25">
      <c r="A112" t="s">
        <v>126</v>
      </c>
      <c r="B112" t="s">
        <v>320</v>
      </c>
      <c r="C112" t="s">
        <v>325</v>
      </c>
      <c r="D112" t="s">
        <v>329</v>
      </c>
      <c r="E112" t="s">
        <v>335</v>
      </c>
      <c r="F112" t="s">
        <v>350</v>
      </c>
      <c r="G112" t="s">
        <v>460</v>
      </c>
      <c r="H112">
        <v>28.2</v>
      </c>
      <c r="I112" t="s">
        <v>730</v>
      </c>
      <c r="J112" t="s">
        <v>1026</v>
      </c>
      <c r="K112">
        <v>4.03</v>
      </c>
      <c r="L112">
        <v>165</v>
      </c>
      <c r="M112">
        <v>10.3</v>
      </c>
      <c r="N112" t="s">
        <v>1216</v>
      </c>
      <c r="O112">
        <v>0</v>
      </c>
      <c r="P112" t="s">
        <v>1218</v>
      </c>
      <c r="Q112" s="2">
        <f t="shared" si="2"/>
        <v>1116.3100000000002</v>
      </c>
      <c r="T112" s="2">
        <f t="shared" si="3"/>
        <v>0.14290780141843973</v>
      </c>
    </row>
    <row r="113" spans="1:20" x14ac:dyDescent="0.25">
      <c r="A113" t="s">
        <v>127</v>
      </c>
      <c r="B113" t="s">
        <v>320</v>
      </c>
      <c r="C113" t="s">
        <v>325</v>
      </c>
      <c r="D113" t="s">
        <v>326</v>
      </c>
      <c r="E113" t="s">
        <v>340</v>
      </c>
      <c r="F113" t="s">
        <v>353</v>
      </c>
      <c r="G113" t="s">
        <v>461</v>
      </c>
      <c r="H113">
        <v>154.1</v>
      </c>
      <c r="I113" t="s">
        <v>731</v>
      </c>
      <c r="J113" t="s">
        <v>1027</v>
      </c>
      <c r="K113">
        <v>24.36</v>
      </c>
      <c r="L113">
        <v>141</v>
      </c>
      <c r="M113">
        <v>65.599999999999994</v>
      </c>
      <c r="N113" t="s">
        <v>1214</v>
      </c>
      <c r="O113">
        <v>5</v>
      </c>
      <c r="P113" t="s">
        <v>1217</v>
      </c>
      <c r="Q113" s="2">
        <f t="shared" si="2"/>
        <v>6747.72</v>
      </c>
      <c r="T113" s="2">
        <f t="shared" si="3"/>
        <v>0.15807916937053862</v>
      </c>
    </row>
    <row r="114" spans="1:20" x14ac:dyDescent="0.25">
      <c r="A114" t="s">
        <v>128</v>
      </c>
      <c r="B114" t="s">
        <v>321</v>
      </c>
      <c r="C114" t="s">
        <v>323</v>
      </c>
      <c r="D114" t="s">
        <v>326</v>
      </c>
      <c r="E114" t="s">
        <v>337</v>
      </c>
      <c r="F114" t="s">
        <v>352</v>
      </c>
      <c r="G114" t="s">
        <v>371</v>
      </c>
      <c r="H114">
        <v>233.3</v>
      </c>
      <c r="I114" t="s">
        <v>732</v>
      </c>
      <c r="J114" t="s">
        <v>1028</v>
      </c>
      <c r="K114">
        <v>33.340000000000003</v>
      </c>
      <c r="L114">
        <v>186</v>
      </c>
      <c r="M114">
        <v>75.3</v>
      </c>
      <c r="N114" t="s">
        <v>1215</v>
      </c>
      <c r="O114">
        <v>10</v>
      </c>
      <c r="P114" t="s">
        <v>1217</v>
      </c>
      <c r="Q114" s="2">
        <f t="shared" si="2"/>
        <v>9235.18</v>
      </c>
      <c r="T114" s="2">
        <f t="shared" si="3"/>
        <v>0.14290612944706388</v>
      </c>
    </row>
    <row r="115" spans="1:20" x14ac:dyDescent="0.25">
      <c r="A115" t="s">
        <v>129</v>
      </c>
      <c r="B115" t="s">
        <v>318</v>
      </c>
      <c r="C115" t="s">
        <v>322</v>
      </c>
      <c r="D115" t="s">
        <v>332</v>
      </c>
      <c r="E115" t="s">
        <v>346</v>
      </c>
      <c r="F115" t="s">
        <v>354</v>
      </c>
      <c r="G115" t="s">
        <v>462</v>
      </c>
      <c r="H115">
        <v>137.6</v>
      </c>
      <c r="I115" t="s">
        <v>733</v>
      </c>
      <c r="J115" t="s">
        <v>1029</v>
      </c>
      <c r="K115">
        <v>21.14</v>
      </c>
      <c r="L115">
        <v>226</v>
      </c>
      <c r="M115">
        <v>36.5</v>
      </c>
      <c r="N115" t="s">
        <v>1213</v>
      </c>
      <c r="O115">
        <v>5</v>
      </c>
      <c r="P115" t="s">
        <v>1217</v>
      </c>
      <c r="Q115" s="2">
        <f t="shared" si="2"/>
        <v>5855.78</v>
      </c>
      <c r="T115" s="2">
        <f t="shared" si="3"/>
        <v>0.15363372093023256</v>
      </c>
    </row>
    <row r="116" spans="1:20" x14ac:dyDescent="0.25">
      <c r="A116" t="s">
        <v>130</v>
      </c>
      <c r="B116" t="s">
        <v>319</v>
      </c>
      <c r="C116" t="s">
        <v>322</v>
      </c>
      <c r="D116" t="s">
        <v>330</v>
      </c>
      <c r="E116" t="s">
        <v>335</v>
      </c>
      <c r="F116" t="s">
        <v>351</v>
      </c>
      <c r="G116" t="s">
        <v>463</v>
      </c>
      <c r="H116">
        <v>155.1</v>
      </c>
      <c r="I116" t="s">
        <v>734</v>
      </c>
      <c r="J116" t="s">
        <v>1030</v>
      </c>
      <c r="K116">
        <v>21.4</v>
      </c>
      <c r="L116">
        <v>197</v>
      </c>
      <c r="M116">
        <v>47.2</v>
      </c>
      <c r="N116" t="s">
        <v>1216</v>
      </c>
      <c r="O116">
        <v>0</v>
      </c>
      <c r="P116" t="s">
        <v>1218</v>
      </c>
      <c r="Q116" s="2">
        <f t="shared" si="2"/>
        <v>5927.7999999999993</v>
      </c>
      <c r="T116" s="2">
        <f t="shared" si="3"/>
        <v>0.13797549967762734</v>
      </c>
    </row>
    <row r="117" spans="1:20" x14ac:dyDescent="0.25">
      <c r="A117" t="s">
        <v>131</v>
      </c>
      <c r="B117" t="s">
        <v>318</v>
      </c>
      <c r="C117" t="s">
        <v>322</v>
      </c>
      <c r="D117" t="s">
        <v>328</v>
      </c>
      <c r="E117" t="s">
        <v>338</v>
      </c>
      <c r="F117" t="s">
        <v>351</v>
      </c>
      <c r="G117" t="s">
        <v>464</v>
      </c>
      <c r="H117">
        <v>133.9</v>
      </c>
      <c r="I117" t="s">
        <v>735</v>
      </c>
      <c r="J117" t="s">
        <v>1031</v>
      </c>
      <c r="K117">
        <v>19.16</v>
      </c>
      <c r="L117">
        <v>202</v>
      </c>
      <c r="M117">
        <v>39.799999999999997</v>
      </c>
      <c r="N117" t="s">
        <v>1214</v>
      </c>
      <c r="O117">
        <v>10</v>
      </c>
      <c r="P117" t="s">
        <v>1217</v>
      </c>
      <c r="Q117" s="2">
        <f t="shared" si="2"/>
        <v>5307.32</v>
      </c>
      <c r="T117" s="2">
        <f t="shared" si="3"/>
        <v>0.14309185959671397</v>
      </c>
    </row>
    <row r="118" spans="1:20" x14ac:dyDescent="0.25">
      <c r="A118" t="s">
        <v>132</v>
      </c>
      <c r="B118" t="s">
        <v>319</v>
      </c>
      <c r="C118" t="s">
        <v>323</v>
      </c>
      <c r="D118" t="s">
        <v>332</v>
      </c>
      <c r="E118" t="s">
        <v>343</v>
      </c>
      <c r="F118" t="s">
        <v>349</v>
      </c>
      <c r="G118" t="s">
        <v>465</v>
      </c>
      <c r="H118">
        <v>141.5</v>
      </c>
      <c r="I118" t="s">
        <v>736</v>
      </c>
      <c r="J118" t="s">
        <v>1032</v>
      </c>
      <c r="K118">
        <v>16.11</v>
      </c>
      <c r="L118">
        <v>162</v>
      </c>
      <c r="M118">
        <v>52.4</v>
      </c>
      <c r="N118" t="s">
        <v>1214</v>
      </c>
      <c r="O118">
        <v>0</v>
      </c>
      <c r="P118" t="s">
        <v>1218</v>
      </c>
      <c r="Q118" s="2">
        <f t="shared" si="2"/>
        <v>4462.47</v>
      </c>
      <c r="T118" s="2">
        <f t="shared" si="3"/>
        <v>0.11385159010600707</v>
      </c>
    </row>
    <row r="119" spans="1:20" x14ac:dyDescent="0.25">
      <c r="A119" t="s">
        <v>133</v>
      </c>
      <c r="B119" t="s">
        <v>318</v>
      </c>
      <c r="C119" t="s">
        <v>323</v>
      </c>
      <c r="D119" t="s">
        <v>327</v>
      </c>
      <c r="E119" t="s">
        <v>340</v>
      </c>
      <c r="F119" t="s">
        <v>348</v>
      </c>
      <c r="G119" t="s">
        <v>466</v>
      </c>
      <c r="H119">
        <v>154.9</v>
      </c>
      <c r="I119" t="s">
        <v>737</v>
      </c>
      <c r="J119" t="s">
        <v>1033</v>
      </c>
      <c r="K119">
        <v>18.45</v>
      </c>
      <c r="L119">
        <v>119</v>
      </c>
      <c r="M119">
        <v>78.099999999999994</v>
      </c>
      <c r="N119" t="s">
        <v>1216</v>
      </c>
      <c r="O119">
        <v>0</v>
      </c>
      <c r="P119" t="s">
        <v>1218</v>
      </c>
      <c r="Q119" s="2">
        <f t="shared" si="2"/>
        <v>5110.6499999999996</v>
      </c>
      <c r="T119" s="2">
        <f t="shared" si="3"/>
        <v>0.11910910264686894</v>
      </c>
    </row>
    <row r="120" spans="1:20" x14ac:dyDescent="0.25">
      <c r="A120" t="s">
        <v>134</v>
      </c>
      <c r="B120" t="s">
        <v>320</v>
      </c>
      <c r="C120" t="s">
        <v>322</v>
      </c>
      <c r="D120" t="s">
        <v>331</v>
      </c>
      <c r="E120" t="s">
        <v>339</v>
      </c>
      <c r="F120" t="s">
        <v>351</v>
      </c>
      <c r="G120" t="s">
        <v>467</v>
      </c>
      <c r="H120">
        <v>159.5</v>
      </c>
      <c r="I120" t="s">
        <v>738</v>
      </c>
      <c r="J120" t="s">
        <v>1034</v>
      </c>
      <c r="K120">
        <v>18.579999999999998</v>
      </c>
      <c r="L120">
        <v>136</v>
      </c>
      <c r="M120">
        <v>70.400000000000006</v>
      </c>
      <c r="N120" t="s">
        <v>1213</v>
      </c>
      <c r="O120">
        <v>20</v>
      </c>
      <c r="P120" t="s">
        <v>1217</v>
      </c>
      <c r="Q120" s="2">
        <f t="shared" si="2"/>
        <v>5146.66</v>
      </c>
      <c r="T120" s="2">
        <f t="shared" si="3"/>
        <v>0.11648902821316613</v>
      </c>
    </row>
    <row r="121" spans="1:20" x14ac:dyDescent="0.25">
      <c r="A121" t="s">
        <v>135</v>
      </c>
      <c r="B121" t="s">
        <v>319</v>
      </c>
      <c r="C121" t="s">
        <v>324</v>
      </c>
      <c r="D121" t="s">
        <v>328</v>
      </c>
      <c r="E121" t="s">
        <v>343</v>
      </c>
      <c r="F121" t="s">
        <v>350</v>
      </c>
      <c r="G121" t="s">
        <v>468</v>
      </c>
      <c r="H121">
        <v>134.4</v>
      </c>
      <c r="I121" t="s">
        <v>739</v>
      </c>
      <c r="J121" t="s">
        <v>1035</v>
      </c>
      <c r="K121">
        <v>20.5</v>
      </c>
      <c r="L121">
        <v>180</v>
      </c>
      <c r="M121">
        <v>44.8</v>
      </c>
      <c r="N121" t="s">
        <v>1213</v>
      </c>
      <c r="O121">
        <v>5</v>
      </c>
      <c r="P121" t="s">
        <v>1217</v>
      </c>
      <c r="Q121" s="2">
        <f t="shared" si="2"/>
        <v>5678.5</v>
      </c>
      <c r="T121" s="2">
        <f t="shared" si="3"/>
        <v>0.15252976190476189</v>
      </c>
    </row>
    <row r="122" spans="1:20" x14ac:dyDescent="0.25">
      <c r="A122" t="s">
        <v>136</v>
      </c>
      <c r="B122" t="s">
        <v>320</v>
      </c>
      <c r="C122" t="s">
        <v>324</v>
      </c>
      <c r="D122" t="s">
        <v>329</v>
      </c>
      <c r="E122" t="s">
        <v>333</v>
      </c>
      <c r="F122" t="s">
        <v>353</v>
      </c>
      <c r="G122" t="s">
        <v>469</v>
      </c>
      <c r="H122">
        <v>36.6</v>
      </c>
      <c r="I122" t="s">
        <v>740</v>
      </c>
      <c r="J122" t="s">
        <v>1036</v>
      </c>
      <c r="K122">
        <v>4.1100000000000003</v>
      </c>
      <c r="L122">
        <v>203</v>
      </c>
      <c r="M122">
        <v>10.8</v>
      </c>
      <c r="N122" t="s">
        <v>1214</v>
      </c>
      <c r="O122">
        <v>0</v>
      </c>
      <c r="P122" t="s">
        <v>1218</v>
      </c>
      <c r="Q122" s="2">
        <f t="shared" si="2"/>
        <v>1138.47</v>
      </c>
      <c r="T122" s="2">
        <f t="shared" si="3"/>
        <v>0.11229508196721312</v>
      </c>
    </row>
    <row r="123" spans="1:20" x14ac:dyDescent="0.25">
      <c r="A123" t="s">
        <v>137</v>
      </c>
      <c r="B123" t="s">
        <v>318</v>
      </c>
      <c r="C123" t="s">
        <v>325</v>
      </c>
      <c r="D123" t="s">
        <v>330</v>
      </c>
      <c r="E123" t="s">
        <v>338</v>
      </c>
      <c r="F123" t="s">
        <v>352</v>
      </c>
      <c r="G123" t="s">
        <v>470</v>
      </c>
      <c r="H123">
        <v>30.2</v>
      </c>
      <c r="I123" t="s">
        <v>741</v>
      </c>
      <c r="J123" t="s">
        <v>1037</v>
      </c>
      <c r="K123">
        <v>3.85</v>
      </c>
      <c r="L123">
        <v>205</v>
      </c>
      <c r="M123">
        <v>8.8000000000000007</v>
      </c>
      <c r="N123" t="s">
        <v>1215</v>
      </c>
      <c r="O123">
        <v>20</v>
      </c>
      <c r="P123" t="s">
        <v>1217</v>
      </c>
      <c r="Q123" s="2">
        <f t="shared" si="2"/>
        <v>1066.45</v>
      </c>
      <c r="T123" s="2">
        <f t="shared" si="3"/>
        <v>0.12748344370860928</v>
      </c>
    </row>
    <row r="124" spans="1:20" x14ac:dyDescent="0.25">
      <c r="A124" t="s">
        <v>138</v>
      </c>
      <c r="B124" t="s">
        <v>320</v>
      </c>
      <c r="C124" t="s">
        <v>322</v>
      </c>
      <c r="D124" t="s">
        <v>328</v>
      </c>
      <c r="E124" t="s">
        <v>339</v>
      </c>
      <c r="F124" t="s">
        <v>352</v>
      </c>
      <c r="G124" t="s">
        <v>471</v>
      </c>
      <c r="H124">
        <v>136.30000000000001</v>
      </c>
      <c r="I124" t="s">
        <v>742</v>
      </c>
      <c r="J124" t="s">
        <v>1038</v>
      </c>
      <c r="K124">
        <v>16.57</v>
      </c>
      <c r="L124">
        <v>118</v>
      </c>
      <c r="M124">
        <v>69.3</v>
      </c>
      <c r="N124" t="s">
        <v>1213</v>
      </c>
      <c r="O124">
        <v>0</v>
      </c>
      <c r="P124" t="s">
        <v>1218</v>
      </c>
      <c r="Q124" s="2">
        <f t="shared" si="2"/>
        <v>4589.8900000000003</v>
      </c>
      <c r="T124" s="2">
        <f t="shared" si="3"/>
        <v>0.12157006603081437</v>
      </c>
    </row>
    <row r="125" spans="1:20" x14ac:dyDescent="0.25">
      <c r="A125" t="s">
        <v>139</v>
      </c>
      <c r="B125" t="s">
        <v>319</v>
      </c>
      <c r="C125" t="s">
        <v>325</v>
      </c>
      <c r="D125" t="s">
        <v>326</v>
      </c>
      <c r="E125" t="s">
        <v>344</v>
      </c>
      <c r="F125" t="s">
        <v>354</v>
      </c>
      <c r="G125" t="s">
        <v>472</v>
      </c>
      <c r="H125">
        <v>81.599999999999994</v>
      </c>
      <c r="I125" t="s">
        <v>743</v>
      </c>
      <c r="J125" t="s">
        <v>1039</v>
      </c>
      <c r="K125">
        <v>12.43</v>
      </c>
      <c r="L125">
        <v>115</v>
      </c>
      <c r="M125">
        <v>42.6</v>
      </c>
      <c r="N125" t="s">
        <v>1216</v>
      </c>
      <c r="O125">
        <v>15</v>
      </c>
      <c r="P125" t="s">
        <v>1217</v>
      </c>
      <c r="Q125" s="2">
        <f t="shared" si="2"/>
        <v>3443.11</v>
      </c>
      <c r="T125" s="2">
        <f t="shared" si="3"/>
        <v>0.15232843137254903</v>
      </c>
    </row>
    <row r="126" spans="1:20" x14ac:dyDescent="0.25">
      <c r="A126" t="s">
        <v>140</v>
      </c>
      <c r="B126" t="s">
        <v>320</v>
      </c>
      <c r="C126" t="s">
        <v>322</v>
      </c>
      <c r="D126" t="s">
        <v>329</v>
      </c>
      <c r="E126" t="s">
        <v>334</v>
      </c>
      <c r="F126" t="s">
        <v>353</v>
      </c>
      <c r="G126" t="s">
        <v>473</v>
      </c>
      <c r="H126">
        <v>197.6</v>
      </c>
      <c r="I126" t="s">
        <v>744</v>
      </c>
      <c r="J126" t="s">
        <v>1040</v>
      </c>
      <c r="K126">
        <v>22.95</v>
      </c>
      <c r="L126">
        <v>62</v>
      </c>
      <c r="M126">
        <v>43</v>
      </c>
      <c r="N126" t="s">
        <v>1216</v>
      </c>
      <c r="O126">
        <v>5</v>
      </c>
      <c r="P126" t="s">
        <v>1217</v>
      </c>
      <c r="Q126" s="2">
        <f t="shared" si="2"/>
        <v>6357.15</v>
      </c>
      <c r="T126" s="2">
        <f t="shared" si="3"/>
        <v>0.11614372469635628</v>
      </c>
    </row>
    <row r="127" spans="1:20" x14ac:dyDescent="0.25">
      <c r="A127" t="s">
        <v>141</v>
      </c>
      <c r="B127" t="s">
        <v>317</v>
      </c>
      <c r="C127" t="s">
        <v>323</v>
      </c>
      <c r="D127" t="s">
        <v>328</v>
      </c>
      <c r="E127" t="s">
        <v>345</v>
      </c>
      <c r="F127" t="s">
        <v>351</v>
      </c>
      <c r="G127" t="s">
        <v>474</v>
      </c>
      <c r="H127">
        <v>198.4</v>
      </c>
      <c r="I127" t="s">
        <v>745</v>
      </c>
      <c r="J127" t="s">
        <v>1041</v>
      </c>
      <c r="K127">
        <v>28.94</v>
      </c>
      <c r="L127">
        <v>71</v>
      </c>
      <c r="M127">
        <v>70</v>
      </c>
      <c r="N127" t="s">
        <v>1214</v>
      </c>
      <c r="O127">
        <v>0</v>
      </c>
      <c r="P127" t="s">
        <v>1218</v>
      </c>
      <c r="Q127" s="2">
        <f t="shared" si="2"/>
        <v>8016.38</v>
      </c>
      <c r="T127" s="2">
        <f t="shared" si="3"/>
        <v>0.14586693548387097</v>
      </c>
    </row>
    <row r="128" spans="1:20" x14ac:dyDescent="0.25">
      <c r="A128" t="s">
        <v>142</v>
      </c>
      <c r="B128" t="s">
        <v>319</v>
      </c>
      <c r="C128" t="s">
        <v>324</v>
      </c>
      <c r="D128" t="s">
        <v>329</v>
      </c>
      <c r="E128" t="s">
        <v>347</v>
      </c>
      <c r="F128" t="s">
        <v>350</v>
      </c>
      <c r="G128" t="s">
        <v>475</v>
      </c>
      <c r="H128">
        <v>36.4</v>
      </c>
      <c r="I128" t="s">
        <v>746</v>
      </c>
      <c r="J128" t="s">
        <v>1042</v>
      </c>
      <c r="K128">
        <v>4.88</v>
      </c>
      <c r="L128">
        <v>157</v>
      </c>
      <c r="M128">
        <v>13.9</v>
      </c>
      <c r="N128" t="s">
        <v>1214</v>
      </c>
      <c r="O128">
        <v>20</v>
      </c>
      <c r="P128" t="s">
        <v>1217</v>
      </c>
      <c r="Q128" s="2">
        <f t="shared" si="2"/>
        <v>1351.76</v>
      </c>
      <c r="T128" s="2">
        <f t="shared" si="3"/>
        <v>0.13406593406593406</v>
      </c>
    </row>
    <row r="129" spans="1:20" x14ac:dyDescent="0.25">
      <c r="A129" t="s">
        <v>143</v>
      </c>
      <c r="B129" t="s">
        <v>318</v>
      </c>
      <c r="C129" t="s">
        <v>323</v>
      </c>
      <c r="D129" t="s">
        <v>332</v>
      </c>
      <c r="E129" t="s">
        <v>347</v>
      </c>
      <c r="F129" t="s">
        <v>348</v>
      </c>
      <c r="G129" t="s">
        <v>476</v>
      </c>
      <c r="H129">
        <v>118.2</v>
      </c>
      <c r="I129" t="s">
        <v>747</v>
      </c>
      <c r="J129" t="s">
        <v>1043</v>
      </c>
      <c r="K129">
        <v>15.33</v>
      </c>
      <c r="L129">
        <v>91</v>
      </c>
      <c r="M129">
        <v>77.900000000000006</v>
      </c>
      <c r="N129" t="s">
        <v>1214</v>
      </c>
      <c r="O129">
        <v>0</v>
      </c>
      <c r="P129" t="s">
        <v>1218</v>
      </c>
      <c r="Q129" s="2">
        <f t="shared" si="2"/>
        <v>4246.41</v>
      </c>
      <c r="T129" s="2">
        <f t="shared" si="3"/>
        <v>0.12969543147208121</v>
      </c>
    </row>
    <row r="130" spans="1:20" x14ac:dyDescent="0.25">
      <c r="A130" t="s">
        <v>144</v>
      </c>
      <c r="B130" t="s">
        <v>320</v>
      </c>
      <c r="C130" t="s">
        <v>325</v>
      </c>
      <c r="D130" t="s">
        <v>332</v>
      </c>
      <c r="E130" t="s">
        <v>341</v>
      </c>
      <c r="F130" t="s">
        <v>351</v>
      </c>
      <c r="G130" t="s">
        <v>477</v>
      </c>
      <c r="H130">
        <v>217.8</v>
      </c>
      <c r="I130" t="s">
        <v>748</v>
      </c>
      <c r="J130" t="s">
        <v>1044</v>
      </c>
      <c r="K130">
        <v>31.53</v>
      </c>
      <c r="L130">
        <v>161</v>
      </c>
      <c r="M130">
        <v>81.2</v>
      </c>
      <c r="N130" t="s">
        <v>1216</v>
      </c>
      <c r="O130">
        <v>25</v>
      </c>
      <c r="P130" t="s">
        <v>1217</v>
      </c>
      <c r="Q130" s="2">
        <f t="shared" si="2"/>
        <v>8733.81</v>
      </c>
      <c r="T130" s="2">
        <f t="shared" si="3"/>
        <v>0.14476584022038566</v>
      </c>
    </row>
    <row r="131" spans="1:20" x14ac:dyDescent="0.25">
      <c r="A131" t="s">
        <v>145</v>
      </c>
      <c r="B131" t="s">
        <v>316</v>
      </c>
      <c r="C131" t="s">
        <v>324</v>
      </c>
      <c r="D131" t="s">
        <v>327</v>
      </c>
      <c r="E131" t="s">
        <v>345</v>
      </c>
      <c r="F131" t="s">
        <v>352</v>
      </c>
      <c r="G131" t="s">
        <v>478</v>
      </c>
      <c r="H131">
        <v>135</v>
      </c>
      <c r="I131" t="s">
        <v>749</v>
      </c>
      <c r="J131" t="s">
        <v>1045</v>
      </c>
      <c r="K131">
        <v>16.57</v>
      </c>
      <c r="L131">
        <v>147</v>
      </c>
      <c r="M131">
        <v>55.1</v>
      </c>
      <c r="N131" t="s">
        <v>1214</v>
      </c>
      <c r="O131">
        <v>10</v>
      </c>
      <c r="P131" t="s">
        <v>1217</v>
      </c>
      <c r="Q131" s="2">
        <f t="shared" ref="Q131:Q194" si="4">K131*277</f>
        <v>4589.8900000000003</v>
      </c>
      <c r="T131" s="2">
        <f t="shared" ref="T131:T194" si="5">K131/H131</f>
        <v>0.12274074074074075</v>
      </c>
    </row>
    <row r="132" spans="1:20" x14ac:dyDescent="0.25">
      <c r="A132" t="s">
        <v>146</v>
      </c>
      <c r="B132" t="s">
        <v>320</v>
      </c>
      <c r="C132" t="s">
        <v>322</v>
      </c>
      <c r="D132" t="s">
        <v>326</v>
      </c>
      <c r="E132" t="s">
        <v>342</v>
      </c>
      <c r="F132" t="s">
        <v>353</v>
      </c>
      <c r="G132" t="s">
        <v>479</v>
      </c>
      <c r="H132">
        <v>188.1</v>
      </c>
      <c r="I132" t="s">
        <v>750</v>
      </c>
      <c r="J132" t="s">
        <v>1046</v>
      </c>
      <c r="K132">
        <v>24.09</v>
      </c>
      <c r="L132">
        <v>211</v>
      </c>
      <c r="M132">
        <v>53.5</v>
      </c>
      <c r="N132" t="s">
        <v>1214</v>
      </c>
      <c r="O132">
        <v>0</v>
      </c>
      <c r="P132" t="s">
        <v>1218</v>
      </c>
      <c r="Q132" s="2">
        <f t="shared" si="4"/>
        <v>6672.93</v>
      </c>
      <c r="T132" s="2">
        <f t="shared" si="5"/>
        <v>0.1280701754385965</v>
      </c>
    </row>
    <row r="133" spans="1:20" x14ac:dyDescent="0.25">
      <c r="A133" t="s">
        <v>147</v>
      </c>
      <c r="B133" t="s">
        <v>321</v>
      </c>
      <c r="C133" t="s">
        <v>323</v>
      </c>
      <c r="D133" t="s">
        <v>326</v>
      </c>
      <c r="E133" t="s">
        <v>338</v>
      </c>
      <c r="F133" t="s">
        <v>354</v>
      </c>
      <c r="G133" t="s">
        <v>480</v>
      </c>
      <c r="H133">
        <v>48.8</v>
      </c>
      <c r="I133" t="s">
        <v>751</v>
      </c>
      <c r="J133" t="s">
        <v>1047</v>
      </c>
      <c r="K133">
        <v>6.17</v>
      </c>
      <c r="L133">
        <v>201</v>
      </c>
      <c r="M133">
        <v>14.6</v>
      </c>
      <c r="N133" t="s">
        <v>1215</v>
      </c>
      <c r="O133">
        <v>10</v>
      </c>
      <c r="P133" t="s">
        <v>1217</v>
      </c>
      <c r="Q133" s="2">
        <f t="shared" si="4"/>
        <v>1709.09</v>
      </c>
      <c r="T133" s="2">
        <f t="shared" si="5"/>
        <v>0.12643442622950821</v>
      </c>
    </row>
    <row r="134" spans="1:20" x14ac:dyDescent="0.25">
      <c r="A134" t="s">
        <v>148</v>
      </c>
      <c r="B134" t="s">
        <v>320</v>
      </c>
      <c r="C134" t="s">
        <v>323</v>
      </c>
      <c r="D134" t="s">
        <v>327</v>
      </c>
      <c r="E134" t="s">
        <v>342</v>
      </c>
      <c r="F134" t="s">
        <v>348</v>
      </c>
      <c r="G134" t="s">
        <v>481</v>
      </c>
      <c r="H134">
        <v>108.5</v>
      </c>
      <c r="I134" t="s">
        <v>752</v>
      </c>
      <c r="J134" t="s">
        <v>1048</v>
      </c>
      <c r="K134">
        <v>13.48</v>
      </c>
      <c r="L134">
        <v>128</v>
      </c>
      <c r="M134">
        <v>50.9</v>
      </c>
      <c r="N134" t="s">
        <v>1216</v>
      </c>
      <c r="O134">
        <v>25</v>
      </c>
      <c r="P134" t="s">
        <v>1217</v>
      </c>
      <c r="Q134" s="2">
        <f t="shared" si="4"/>
        <v>3733.96</v>
      </c>
      <c r="T134" s="2">
        <f t="shared" si="5"/>
        <v>0.12423963133640553</v>
      </c>
    </row>
    <row r="135" spans="1:20" x14ac:dyDescent="0.25">
      <c r="A135" t="s">
        <v>149</v>
      </c>
      <c r="B135" t="s">
        <v>318</v>
      </c>
      <c r="C135" t="s">
        <v>323</v>
      </c>
      <c r="D135" t="s">
        <v>327</v>
      </c>
      <c r="E135" t="s">
        <v>344</v>
      </c>
      <c r="F135" t="s">
        <v>351</v>
      </c>
      <c r="G135" t="s">
        <v>482</v>
      </c>
      <c r="H135">
        <v>206.7</v>
      </c>
      <c r="I135" t="s">
        <v>753</v>
      </c>
      <c r="J135" t="s">
        <v>1049</v>
      </c>
      <c r="K135">
        <v>34.130000000000003</v>
      </c>
      <c r="L135">
        <v>113</v>
      </c>
      <c r="M135">
        <v>44</v>
      </c>
      <c r="N135" t="s">
        <v>1216</v>
      </c>
      <c r="O135">
        <v>20</v>
      </c>
      <c r="P135" t="s">
        <v>1217</v>
      </c>
      <c r="Q135" s="2">
        <f t="shared" si="4"/>
        <v>9454.01</v>
      </c>
      <c r="T135" s="2">
        <f t="shared" si="5"/>
        <v>0.16511852926947268</v>
      </c>
    </row>
    <row r="136" spans="1:20" x14ac:dyDescent="0.25">
      <c r="A136" t="s">
        <v>150</v>
      </c>
      <c r="B136" t="s">
        <v>317</v>
      </c>
      <c r="C136" t="s">
        <v>322</v>
      </c>
      <c r="D136" t="s">
        <v>327</v>
      </c>
      <c r="E136" t="s">
        <v>346</v>
      </c>
      <c r="F136" t="s">
        <v>351</v>
      </c>
      <c r="G136" t="s">
        <v>483</v>
      </c>
      <c r="H136">
        <v>217.8</v>
      </c>
      <c r="I136" t="s">
        <v>754</v>
      </c>
      <c r="J136" t="s">
        <v>1050</v>
      </c>
      <c r="K136">
        <v>31.71</v>
      </c>
      <c r="L136">
        <v>147</v>
      </c>
      <c r="M136">
        <v>88.9</v>
      </c>
      <c r="N136" t="s">
        <v>1215</v>
      </c>
      <c r="O136">
        <v>15</v>
      </c>
      <c r="P136" t="s">
        <v>1217</v>
      </c>
      <c r="Q136" s="2">
        <f t="shared" si="4"/>
        <v>8783.67</v>
      </c>
      <c r="T136" s="2">
        <f t="shared" si="5"/>
        <v>0.1455922865013774</v>
      </c>
    </row>
    <row r="137" spans="1:20" x14ac:dyDescent="0.25">
      <c r="A137" t="s">
        <v>151</v>
      </c>
      <c r="B137" t="s">
        <v>317</v>
      </c>
      <c r="C137" t="s">
        <v>325</v>
      </c>
      <c r="D137" t="s">
        <v>331</v>
      </c>
      <c r="E137" t="s">
        <v>342</v>
      </c>
      <c r="F137" t="s">
        <v>353</v>
      </c>
      <c r="G137" t="s">
        <v>484</v>
      </c>
      <c r="H137">
        <v>237.1</v>
      </c>
      <c r="I137" t="s">
        <v>755</v>
      </c>
      <c r="J137" t="s">
        <v>1051</v>
      </c>
      <c r="K137">
        <v>33.590000000000003</v>
      </c>
      <c r="L137">
        <v>60</v>
      </c>
      <c r="M137">
        <v>56</v>
      </c>
      <c r="N137" t="s">
        <v>1214</v>
      </c>
      <c r="O137">
        <v>0</v>
      </c>
      <c r="P137" t="s">
        <v>1218</v>
      </c>
      <c r="Q137" s="2">
        <f t="shared" si="4"/>
        <v>9304.43</v>
      </c>
      <c r="T137" s="2">
        <f t="shared" si="5"/>
        <v>0.14167018135807677</v>
      </c>
    </row>
    <row r="138" spans="1:20" x14ac:dyDescent="0.25">
      <c r="A138" t="s">
        <v>152</v>
      </c>
      <c r="B138" t="s">
        <v>320</v>
      </c>
      <c r="C138" t="s">
        <v>323</v>
      </c>
      <c r="D138" t="s">
        <v>331</v>
      </c>
      <c r="E138" t="s">
        <v>335</v>
      </c>
      <c r="F138" t="s">
        <v>353</v>
      </c>
      <c r="G138" t="s">
        <v>485</v>
      </c>
      <c r="H138">
        <v>146.69999999999999</v>
      </c>
      <c r="I138" t="s">
        <v>756</v>
      </c>
      <c r="J138" t="s">
        <v>1052</v>
      </c>
      <c r="K138">
        <v>17.09</v>
      </c>
      <c r="L138">
        <v>139</v>
      </c>
      <c r="M138">
        <v>63.3</v>
      </c>
      <c r="N138" t="s">
        <v>1216</v>
      </c>
      <c r="O138">
        <v>0</v>
      </c>
      <c r="P138" t="s">
        <v>1218</v>
      </c>
      <c r="Q138" s="2">
        <f t="shared" si="4"/>
        <v>4733.93</v>
      </c>
      <c r="T138" s="2">
        <f t="shared" si="5"/>
        <v>0.11649625085207908</v>
      </c>
    </row>
    <row r="139" spans="1:20" x14ac:dyDescent="0.25">
      <c r="A139" t="s">
        <v>153</v>
      </c>
      <c r="B139" t="s">
        <v>321</v>
      </c>
      <c r="C139" t="s">
        <v>322</v>
      </c>
      <c r="D139" t="s">
        <v>329</v>
      </c>
      <c r="E139" t="s">
        <v>338</v>
      </c>
      <c r="F139" t="s">
        <v>349</v>
      </c>
      <c r="G139" t="s">
        <v>486</v>
      </c>
      <c r="H139">
        <v>179.8</v>
      </c>
      <c r="I139" t="s">
        <v>757</v>
      </c>
      <c r="J139" t="s">
        <v>1053</v>
      </c>
      <c r="K139">
        <v>22.03</v>
      </c>
      <c r="L139">
        <v>175</v>
      </c>
      <c r="M139">
        <v>61.6</v>
      </c>
      <c r="N139" t="s">
        <v>1215</v>
      </c>
      <c r="O139">
        <v>5</v>
      </c>
      <c r="P139" t="s">
        <v>1217</v>
      </c>
      <c r="Q139" s="2">
        <f t="shared" si="4"/>
        <v>6102.31</v>
      </c>
      <c r="T139" s="2">
        <f t="shared" si="5"/>
        <v>0.1225250278086763</v>
      </c>
    </row>
    <row r="140" spans="1:20" x14ac:dyDescent="0.25">
      <c r="A140" t="s">
        <v>154</v>
      </c>
      <c r="B140" t="s">
        <v>318</v>
      </c>
      <c r="C140" t="s">
        <v>324</v>
      </c>
      <c r="D140" t="s">
        <v>332</v>
      </c>
      <c r="E140" t="s">
        <v>337</v>
      </c>
      <c r="F140" t="s">
        <v>354</v>
      </c>
      <c r="G140" t="s">
        <v>487</v>
      </c>
      <c r="H140">
        <v>106.9</v>
      </c>
      <c r="I140" t="s">
        <v>758</v>
      </c>
      <c r="J140" t="s">
        <v>1054</v>
      </c>
      <c r="K140">
        <v>17.670000000000002</v>
      </c>
      <c r="L140">
        <v>60</v>
      </c>
      <c r="M140">
        <v>71</v>
      </c>
      <c r="N140" t="s">
        <v>1215</v>
      </c>
      <c r="O140">
        <v>0</v>
      </c>
      <c r="P140" t="s">
        <v>1218</v>
      </c>
      <c r="Q140" s="2">
        <f t="shared" si="4"/>
        <v>4894.59</v>
      </c>
      <c r="T140" s="2">
        <f t="shared" si="5"/>
        <v>0.16529466791393826</v>
      </c>
    </row>
    <row r="141" spans="1:20" x14ac:dyDescent="0.25">
      <c r="A141" t="s">
        <v>155</v>
      </c>
      <c r="B141" t="s">
        <v>318</v>
      </c>
      <c r="C141" t="s">
        <v>322</v>
      </c>
      <c r="D141" t="s">
        <v>326</v>
      </c>
      <c r="E141" t="s">
        <v>337</v>
      </c>
      <c r="F141" t="s">
        <v>353</v>
      </c>
      <c r="G141" t="s">
        <v>488</v>
      </c>
      <c r="H141">
        <v>164.7</v>
      </c>
      <c r="I141" t="s">
        <v>759</v>
      </c>
      <c r="J141" t="s">
        <v>1055</v>
      </c>
      <c r="K141">
        <v>21.51</v>
      </c>
      <c r="L141">
        <v>93</v>
      </c>
      <c r="M141">
        <v>44</v>
      </c>
      <c r="N141" t="s">
        <v>1213</v>
      </c>
      <c r="O141">
        <v>0</v>
      </c>
      <c r="P141" t="s">
        <v>1218</v>
      </c>
      <c r="Q141" s="2">
        <f t="shared" si="4"/>
        <v>5958.27</v>
      </c>
      <c r="T141" s="2">
        <f t="shared" si="5"/>
        <v>0.13060109289617489</v>
      </c>
    </row>
    <row r="142" spans="1:20" x14ac:dyDescent="0.25">
      <c r="A142" t="s">
        <v>156</v>
      </c>
      <c r="B142" t="s">
        <v>317</v>
      </c>
      <c r="C142" t="s">
        <v>325</v>
      </c>
      <c r="D142" t="s">
        <v>328</v>
      </c>
      <c r="E142" t="s">
        <v>333</v>
      </c>
      <c r="F142" t="s">
        <v>348</v>
      </c>
      <c r="G142" t="s">
        <v>489</v>
      </c>
      <c r="H142">
        <v>229.8</v>
      </c>
      <c r="I142" t="s">
        <v>760</v>
      </c>
      <c r="J142" t="s">
        <v>1056</v>
      </c>
      <c r="K142">
        <v>33.520000000000003</v>
      </c>
      <c r="L142">
        <v>191</v>
      </c>
      <c r="M142">
        <v>72.2</v>
      </c>
      <c r="N142" t="s">
        <v>1216</v>
      </c>
      <c r="O142">
        <v>5</v>
      </c>
      <c r="P142" t="s">
        <v>1217</v>
      </c>
      <c r="Q142" s="2">
        <f t="shared" si="4"/>
        <v>9285.0400000000009</v>
      </c>
      <c r="T142" s="2">
        <f t="shared" si="5"/>
        <v>0.14586597040905136</v>
      </c>
    </row>
    <row r="143" spans="1:20" x14ac:dyDescent="0.25">
      <c r="A143" t="s">
        <v>157</v>
      </c>
      <c r="B143" t="s">
        <v>317</v>
      </c>
      <c r="C143" t="s">
        <v>324</v>
      </c>
      <c r="D143" t="s">
        <v>327</v>
      </c>
      <c r="E143" t="s">
        <v>345</v>
      </c>
      <c r="F143" t="s">
        <v>348</v>
      </c>
      <c r="G143" t="s">
        <v>490</v>
      </c>
      <c r="H143">
        <v>121.5</v>
      </c>
      <c r="I143" t="s">
        <v>761</v>
      </c>
      <c r="J143" t="s">
        <v>1057</v>
      </c>
      <c r="K143">
        <v>17.63</v>
      </c>
      <c r="L143">
        <v>109</v>
      </c>
      <c r="M143">
        <v>66.900000000000006</v>
      </c>
      <c r="N143" t="s">
        <v>1216</v>
      </c>
      <c r="O143">
        <v>0</v>
      </c>
      <c r="P143" t="s">
        <v>1218</v>
      </c>
      <c r="Q143" s="2">
        <f t="shared" si="4"/>
        <v>4883.5099999999993</v>
      </c>
      <c r="T143" s="2">
        <f t="shared" si="5"/>
        <v>0.14510288065843621</v>
      </c>
    </row>
    <row r="144" spans="1:20" x14ac:dyDescent="0.25">
      <c r="A144" t="s">
        <v>158</v>
      </c>
      <c r="B144" t="s">
        <v>321</v>
      </c>
      <c r="C144" t="s">
        <v>322</v>
      </c>
      <c r="D144" t="s">
        <v>332</v>
      </c>
      <c r="E144" t="s">
        <v>334</v>
      </c>
      <c r="F144" t="s">
        <v>352</v>
      </c>
      <c r="G144" t="s">
        <v>393</v>
      </c>
      <c r="H144">
        <v>232.5</v>
      </c>
      <c r="I144" t="s">
        <v>762</v>
      </c>
      <c r="J144" t="s">
        <v>1058</v>
      </c>
      <c r="K144">
        <v>38.6</v>
      </c>
      <c r="L144">
        <v>206</v>
      </c>
      <c r="M144">
        <v>67.7</v>
      </c>
      <c r="N144" t="s">
        <v>1213</v>
      </c>
      <c r="O144">
        <v>5</v>
      </c>
      <c r="P144" t="s">
        <v>1217</v>
      </c>
      <c r="Q144" s="2">
        <f t="shared" si="4"/>
        <v>10692.2</v>
      </c>
      <c r="T144" s="2">
        <f t="shared" si="5"/>
        <v>0.16602150537634408</v>
      </c>
    </row>
    <row r="145" spans="1:20" x14ac:dyDescent="0.25">
      <c r="A145" t="s">
        <v>159</v>
      </c>
      <c r="B145" t="s">
        <v>317</v>
      </c>
      <c r="C145" t="s">
        <v>324</v>
      </c>
      <c r="D145" t="s">
        <v>326</v>
      </c>
      <c r="E145" t="s">
        <v>334</v>
      </c>
      <c r="F145" t="s">
        <v>350</v>
      </c>
      <c r="G145" t="s">
        <v>491</v>
      </c>
      <c r="H145">
        <v>124.8</v>
      </c>
      <c r="I145" t="s">
        <v>763</v>
      </c>
      <c r="J145" t="s">
        <v>1059</v>
      </c>
      <c r="K145">
        <v>16.53</v>
      </c>
      <c r="L145">
        <v>71</v>
      </c>
      <c r="M145">
        <v>88</v>
      </c>
      <c r="N145" t="s">
        <v>1216</v>
      </c>
      <c r="O145">
        <v>25</v>
      </c>
      <c r="P145" t="s">
        <v>1217</v>
      </c>
      <c r="Q145" s="2">
        <f t="shared" si="4"/>
        <v>4578.8100000000004</v>
      </c>
      <c r="T145" s="2">
        <f t="shared" si="5"/>
        <v>0.13245192307692308</v>
      </c>
    </row>
    <row r="146" spans="1:20" x14ac:dyDescent="0.25">
      <c r="A146" t="s">
        <v>160</v>
      </c>
      <c r="B146" t="s">
        <v>316</v>
      </c>
      <c r="C146" t="s">
        <v>325</v>
      </c>
      <c r="D146" t="s">
        <v>327</v>
      </c>
      <c r="E146" t="s">
        <v>338</v>
      </c>
      <c r="F146" t="s">
        <v>350</v>
      </c>
      <c r="G146" t="s">
        <v>492</v>
      </c>
      <c r="H146">
        <v>134.30000000000001</v>
      </c>
      <c r="I146" t="s">
        <v>764</v>
      </c>
      <c r="J146" t="s">
        <v>1060</v>
      </c>
      <c r="K146">
        <v>17.899999999999999</v>
      </c>
      <c r="L146">
        <v>222</v>
      </c>
      <c r="M146">
        <v>36.299999999999997</v>
      </c>
      <c r="N146" t="s">
        <v>1213</v>
      </c>
      <c r="O146">
        <v>5</v>
      </c>
      <c r="P146" t="s">
        <v>1217</v>
      </c>
      <c r="Q146" s="2">
        <f t="shared" si="4"/>
        <v>4958.2999999999993</v>
      </c>
      <c r="T146" s="2">
        <f t="shared" si="5"/>
        <v>0.13328369322412506</v>
      </c>
    </row>
    <row r="147" spans="1:20" x14ac:dyDescent="0.25">
      <c r="A147" t="s">
        <v>161</v>
      </c>
      <c r="B147" t="s">
        <v>316</v>
      </c>
      <c r="C147" t="s">
        <v>322</v>
      </c>
      <c r="D147" t="s">
        <v>326</v>
      </c>
      <c r="E147" t="s">
        <v>336</v>
      </c>
      <c r="F147" t="s">
        <v>351</v>
      </c>
      <c r="G147" t="s">
        <v>493</v>
      </c>
      <c r="H147">
        <v>163.5</v>
      </c>
      <c r="I147" t="s">
        <v>765</v>
      </c>
      <c r="J147" t="s">
        <v>1061</v>
      </c>
      <c r="K147">
        <v>21.91</v>
      </c>
      <c r="L147">
        <v>80</v>
      </c>
      <c r="M147">
        <v>55</v>
      </c>
      <c r="N147" t="s">
        <v>1216</v>
      </c>
      <c r="O147">
        <v>10</v>
      </c>
      <c r="P147" t="s">
        <v>1217</v>
      </c>
      <c r="Q147" s="2">
        <f t="shared" si="4"/>
        <v>6069.07</v>
      </c>
      <c r="T147" s="2">
        <f t="shared" si="5"/>
        <v>0.13400611620795108</v>
      </c>
    </row>
    <row r="148" spans="1:20" x14ac:dyDescent="0.25">
      <c r="A148" t="s">
        <v>162</v>
      </c>
      <c r="B148" t="s">
        <v>317</v>
      </c>
      <c r="C148" t="s">
        <v>325</v>
      </c>
      <c r="D148" t="s">
        <v>328</v>
      </c>
      <c r="E148" t="s">
        <v>345</v>
      </c>
      <c r="F148" t="s">
        <v>349</v>
      </c>
      <c r="G148" t="s">
        <v>462</v>
      </c>
      <c r="H148">
        <v>13.9</v>
      </c>
      <c r="I148" t="s">
        <v>766</v>
      </c>
      <c r="J148" t="s">
        <v>1062</v>
      </c>
      <c r="K148">
        <v>1.91</v>
      </c>
      <c r="L148">
        <v>80</v>
      </c>
      <c r="M148">
        <v>10.4</v>
      </c>
      <c r="N148" t="s">
        <v>1213</v>
      </c>
      <c r="O148">
        <v>20</v>
      </c>
      <c r="P148" t="s">
        <v>1217</v>
      </c>
      <c r="Q148" s="2">
        <f t="shared" si="4"/>
        <v>529.06999999999994</v>
      </c>
      <c r="T148" s="2">
        <f t="shared" si="5"/>
        <v>0.13741007194244603</v>
      </c>
    </row>
    <row r="149" spans="1:20" x14ac:dyDescent="0.25">
      <c r="A149" t="s">
        <v>163</v>
      </c>
      <c r="B149" t="s">
        <v>318</v>
      </c>
      <c r="C149" t="s">
        <v>322</v>
      </c>
      <c r="D149" t="s">
        <v>326</v>
      </c>
      <c r="E149" t="s">
        <v>345</v>
      </c>
      <c r="F149" t="s">
        <v>352</v>
      </c>
      <c r="G149" t="s">
        <v>494</v>
      </c>
      <c r="H149">
        <v>181.3</v>
      </c>
      <c r="I149" t="s">
        <v>767</v>
      </c>
      <c r="J149" t="s">
        <v>1063</v>
      </c>
      <c r="K149">
        <v>27.83</v>
      </c>
      <c r="L149">
        <v>227</v>
      </c>
      <c r="M149">
        <v>47.9</v>
      </c>
      <c r="N149" t="s">
        <v>1213</v>
      </c>
      <c r="O149">
        <v>10</v>
      </c>
      <c r="P149" t="s">
        <v>1217</v>
      </c>
      <c r="Q149" s="2">
        <f t="shared" si="4"/>
        <v>7708.91</v>
      </c>
      <c r="T149" s="2">
        <f t="shared" si="5"/>
        <v>0.15350248207391062</v>
      </c>
    </row>
    <row r="150" spans="1:20" x14ac:dyDescent="0.25">
      <c r="A150" t="s">
        <v>164</v>
      </c>
      <c r="B150" t="s">
        <v>317</v>
      </c>
      <c r="C150" t="s">
        <v>322</v>
      </c>
      <c r="D150" t="s">
        <v>331</v>
      </c>
      <c r="E150" t="s">
        <v>342</v>
      </c>
      <c r="F150" t="s">
        <v>352</v>
      </c>
      <c r="G150" t="s">
        <v>495</v>
      </c>
      <c r="H150">
        <v>209</v>
      </c>
      <c r="I150" t="s">
        <v>768</v>
      </c>
      <c r="J150" t="s">
        <v>1064</v>
      </c>
      <c r="K150">
        <v>33.61</v>
      </c>
      <c r="L150">
        <v>95</v>
      </c>
      <c r="M150">
        <v>47</v>
      </c>
      <c r="N150" t="s">
        <v>1214</v>
      </c>
      <c r="O150">
        <v>5</v>
      </c>
      <c r="P150" t="s">
        <v>1217</v>
      </c>
      <c r="Q150" s="2">
        <f t="shared" si="4"/>
        <v>9309.9699999999993</v>
      </c>
      <c r="T150" s="2">
        <f t="shared" si="5"/>
        <v>0.1608133971291866</v>
      </c>
    </row>
    <row r="151" spans="1:20" x14ac:dyDescent="0.25">
      <c r="A151" t="s">
        <v>165</v>
      </c>
      <c r="B151" t="s">
        <v>316</v>
      </c>
      <c r="C151" t="s">
        <v>322</v>
      </c>
      <c r="D151" t="s">
        <v>329</v>
      </c>
      <c r="E151" t="s">
        <v>344</v>
      </c>
      <c r="F151" t="s">
        <v>349</v>
      </c>
      <c r="G151" t="s">
        <v>496</v>
      </c>
      <c r="H151">
        <v>106.9</v>
      </c>
      <c r="I151" t="s">
        <v>769</v>
      </c>
      <c r="J151" t="s">
        <v>1065</v>
      </c>
      <c r="K151">
        <v>15.53</v>
      </c>
      <c r="L151">
        <v>62</v>
      </c>
      <c r="M151">
        <v>74</v>
      </c>
      <c r="N151" t="s">
        <v>1216</v>
      </c>
      <c r="O151">
        <v>5</v>
      </c>
      <c r="P151" t="s">
        <v>1217</v>
      </c>
      <c r="Q151" s="2">
        <f t="shared" si="4"/>
        <v>4301.8099999999995</v>
      </c>
      <c r="T151" s="2">
        <f t="shared" si="5"/>
        <v>0.14527595884003741</v>
      </c>
    </row>
    <row r="152" spans="1:20" x14ac:dyDescent="0.25">
      <c r="A152" t="s">
        <v>166</v>
      </c>
      <c r="B152" t="s">
        <v>320</v>
      </c>
      <c r="C152" t="s">
        <v>323</v>
      </c>
      <c r="D152" t="s">
        <v>327</v>
      </c>
      <c r="E152" t="s">
        <v>338</v>
      </c>
      <c r="F152" t="s">
        <v>349</v>
      </c>
      <c r="G152" t="s">
        <v>497</v>
      </c>
      <c r="H152">
        <v>82.1</v>
      </c>
      <c r="I152" t="s">
        <v>770</v>
      </c>
      <c r="J152" t="s">
        <v>1066</v>
      </c>
      <c r="K152">
        <v>9.43</v>
      </c>
      <c r="L152">
        <v>171</v>
      </c>
      <c r="M152">
        <v>28.8</v>
      </c>
      <c r="N152" t="s">
        <v>1215</v>
      </c>
      <c r="O152">
        <v>10</v>
      </c>
      <c r="P152" t="s">
        <v>1217</v>
      </c>
      <c r="Q152" s="2">
        <f t="shared" si="4"/>
        <v>2612.11</v>
      </c>
      <c r="T152" s="2">
        <f t="shared" si="5"/>
        <v>0.11485992691839221</v>
      </c>
    </row>
    <row r="153" spans="1:20" x14ac:dyDescent="0.25">
      <c r="A153" t="s">
        <v>167</v>
      </c>
      <c r="B153" t="s">
        <v>321</v>
      </c>
      <c r="C153" t="s">
        <v>325</v>
      </c>
      <c r="D153" t="s">
        <v>331</v>
      </c>
      <c r="E153" t="s">
        <v>346</v>
      </c>
      <c r="F153" t="s">
        <v>353</v>
      </c>
      <c r="G153" t="s">
        <v>498</v>
      </c>
      <c r="H153">
        <v>110.5</v>
      </c>
      <c r="I153" t="s">
        <v>771</v>
      </c>
      <c r="J153" t="s">
        <v>1067</v>
      </c>
      <c r="K153">
        <v>12.45</v>
      </c>
      <c r="L153">
        <v>91</v>
      </c>
      <c r="M153">
        <v>72.900000000000006</v>
      </c>
      <c r="N153" t="s">
        <v>1215</v>
      </c>
      <c r="O153">
        <v>0</v>
      </c>
      <c r="P153" t="s">
        <v>1218</v>
      </c>
      <c r="Q153" s="2">
        <f t="shared" si="4"/>
        <v>3448.6499999999996</v>
      </c>
      <c r="T153" s="2">
        <f t="shared" si="5"/>
        <v>0.11266968325791854</v>
      </c>
    </row>
    <row r="154" spans="1:20" x14ac:dyDescent="0.25">
      <c r="A154" t="s">
        <v>168</v>
      </c>
      <c r="B154" t="s">
        <v>320</v>
      </c>
      <c r="C154" t="s">
        <v>324</v>
      </c>
      <c r="D154" t="s">
        <v>332</v>
      </c>
      <c r="E154" t="s">
        <v>339</v>
      </c>
      <c r="F154" t="s">
        <v>350</v>
      </c>
      <c r="G154" t="s">
        <v>499</v>
      </c>
      <c r="H154">
        <v>231.1</v>
      </c>
      <c r="I154" t="s">
        <v>772</v>
      </c>
      <c r="J154" t="s">
        <v>1068</v>
      </c>
      <c r="K154">
        <v>33.86</v>
      </c>
      <c r="L154">
        <v>91</v>
      </c>
      <c r="M154">
        <v>62</v>
      </c>
      <c r="N154" t="s">
        <v>1215</v>
      </c>
      <c r="O154">
        <v>10</v>
      </c>
      <c r="P154" t="s">
        <v>1217</v>
      </c>
      <c r="Q154" s="2">
        <f t="shared" si="4"/>
        <v>9379.2199999999993</v>
      </c>
      <c r="T154" s="2">
        <f t="shared" si="5"/>
        <v>0.14651665945478148</v>
      </c>
    </row>
    <row r="155" spans="1:20" x14ac:dyDescent="0.25">
      <c r="A155" t="s">
        <v>169</v>
      </c>
      <c r="B155" t="s">
        <v>318</v>
      </c>
      <c r="C155" t="s">
        <v>324</v>
      </c>
      <c r="D155" t="s">
        <v>329</v>
      </c>
      <c r="E155" t="s">
        <v>345</v>
      </c>
      <c r="F155" t="s">
        <v>352</v>
      </c>
      <c r="G155" t="s">
        <v>500</v>
      </c>
      <c r="H155">
        <v>162.6</v>
      </c>
      <c r="I155" t="s">
        <v>773</v>
      </c>
      <c r="J155" t="s">
        <v>1069</v>
      </c>
      <c r="K155">
        <v>21.41</v>
      </c>
      <c r="L155">
        <v>168</v>
      </c>
      <c r="M155">
        <v>58.1</v>
      </c>
      <c r="N155" t="s">
        <v>1216</v>
      </c>
      <c r="O155">
        <v>20</v>
      </c>
      <c r="P155" t="s">
        <v>1217</v>
      </c>
      <c r="Q155" s="2">
        <f t="shared" si="4"/>
        <v>5930.57</v>
      </c>
      <c r="T155" s="2">
        <f t="shared" si="5"/>
        <v>0.13167281672816727</v>
      </c>
    </row>
    <row r="156" spans="1:20" x14ac:dyDescent="0.25">
      <c r="A156" t="s">
        <v>170</v>
      </c>
      <c r="B156" t="s">
        <v>320</v>
      </c>
      <c r="C156" t="s">
        <v>322</v>
      </c>
      <c r="D156" t="s">
        <v>332</v>
      </c>
      <c r="E156" t="s">
        <v>334</v>
      </c>
      <c r="F156" t="s">
        <v>352</v>
      </c>
      <c r="G156" t="s">
        <v>490</v>
      </c>
      <c r="H156">
        <v>198.6</v>
      </c>
      <c r="I156" t="s">
        <v>774</v>
      </c>
      <c r="J156" t="s">
        <v>1070</v>
      </c>
      <c r="K156">
        <v>30.71</v>
      </c>
      <c r="L156">
        <v>105</v>
      </c>
      <c r="M156">
        <v>84</v>
      </c>
      <c r="N156" t="s">
        <v>1215</v>
      </c>
      <c r="O156">
        <v>10</v>
      </c>
      <c r="P156" t="s">
        <v>1217</v>
      </c>
      <c r="Q156" s="2">
        <f t="shared" si="4"/>
        <v>8506.67</v>
      </c>
      <c r="T156" s="2">
        <f t="shared" si="5"/>
        <v>0.15463242698892246</v>
      </c>
    </row>
    <row r="157" spans="1:20" x14ac:dyDescent="0.25">
      <c r="A157" t="s">
        <v>171</v>
      </c>
      <c r="B157" t="s">
        <v>319</v>
      </c>
      <c r="C157" t="s">
        <v>323</v>
      </c>
      <c r="D157" t="s">
        <v>330</v>
      </c>
      <c r="E157" t="s">
        <v>343</v>
      </c>
      <c r="F157" t="s">
        <v>350</v>
      </c>
      <c r="G157" t="s">
        <v>501</v>
      </c>
      <c r="H157">
        <v>156.6</v>
      </c>
      <c r="I157" t="s">
        <v>775</v>
      </c>
      <c r="J157" t="s">
        <v>1071</v>
      </c>
      <c r="K157">
        <v>21.12</v>
      </c>
      <c r="L157">
        <v>237</v>
      </c>
      <c r="M157">
        <v>39.6</v>
      </c>
      <c r="N157" t="s">
        <v>1215</v>
      </c>
      <c r="O157">
        <v>0</v>
      </c>
      <c r="P157" t="s">
        <v>1218</v>
      </c>
      <c r="Q157" s="2">
        <f t="shared" si="4"/>
        <v>5850.2400000000007</v>
      </c>
      <c r="T157" s="2">
        <f t="shared" si="5"/>
        <v>0.13486590038314178</v>
      </c>
    </row>
    <row r="158" spans="1:20" x14ac:dyDescent="0.25">
      <c r="A158" t="s">
        <v>172</v>
      </c>
      <c r="B158" t="s">
        <v>319</v>
      </c>
      <c r="C158" t="s">
        <v>322</v>
      </c>
      <c r="D158" t="s">
        <v>327</v>
      </c>
      <c r="E158" t="s">
        <v>337</v>
      </c>
      <c r="F158" t="s">
        <v>354</v>
      </c>
      <c r="G158" t="s">
        <v>502</v>
      </c>
      <c r="H158">
        <v>204.9</v>
      </c>
      <c r="I158" t="s">
        <v>776</v>
      </c>
      <c r="J158" t="s">
        <v>1072</v>
      </c>
      <c r="K158">
        <v>25.78</v>
      </c>
      <c r="L158">
        <v>132</v>
      </c>
      <c r="M158">
        <v>93.1</v>
      </c>
      <c r="N158" t="s">
        <v>1214</v>
      </c>
      <c r="O158">
        <v>0</v>
      </c>
      <c r="P158" t="s">
        <v>1218</v>
      </c>
      <c r="Q158" s="2">
        <f t="shared" si="4"/>
        <v>7141.06</v>
      </c>
      <c r="T158" s="2">
        <f t="shared" si="5"/>
        <v>0.12581747193753051</v>
      </c>
    </row>
    <row r="159" spans="1:20" x14ac:dyDescent="0.25">
      <c r="A159" t="s">
        <v>173</v>
      </c>
      <c r="B159" t="s">
        <v>320</v>
      </c>
      <c r="C159" t="s">
        <v>322</v>
      </c>
      <c r="D159" t="s">
        <v>329</v>
      </c>
      <c r="E159" t="s">
        <v>347</v>
      </c>
      <c r="F159" t="s">
        <v>349</v>
      </c>
      <c r="G159" t="s">
        <v>503</v>
      </c>
      <c r="H159">
        <v>193.6</v>
      </c>
      <c r="I159" t="s">
        <v>777</v>
      </c>
      <c r="J159" t="s">
        <v>1073</v>
      </c>
      <c r="K159">
        <v>22.37</v>
      </c>
      <c r="L159">
        <v>57</v>
      </c>
      <c r="M159">
        <v>57</v>
      </c>
      <c r="N159" t="s">
        <v>1215</v>
      </c>
      <c r="O159">
        <v>15</v>
      </c>
      <c r="P159" t="s">
        <v>1217</v>
      </c>
      <c r="Q159" s="2">
        <f t="shared" si="4"/>
        <v>6196.4900000000007</v>
      </c>
      <c r="T159" s="2">
        <f t="shared" si="5"/>
        <v>0.11554752066115703</v>
      </c>
    </row>
    <row r="160" spans="1:20" x14ac:dyDescent="0.25">
      <c r="A160" t="s">
        <v>174</v>
      </c>
      <c r="B160" t="s">
        <v>319</v>
      </c>
      <c r="C160" t="s">
        <v>323</v>
      </c>
      <c r="D160" t="s">
        <v>330</v>
      </c>
      <c r="E160" t="s">
        <v>337</v>
      </c>
      <c r="F160" t="s">
        <v>351</v>
      </c>
      <c r="G160" t="s">
        <v>504</v>
      </c>
      <c r="H160">
        <v>236.9</v>
      </c>
      <c r="I160" t="s">
        <v>778</v>
      </c>
      <c r="J160" t="s">
        <v>1074</v>
      </c>
      <c r="K160">
        <v>30.87</v>
      </c>
      <c r="L160">
        <v>143</v>
      </c>
      <c r="M160">
        <v>79</v>
      </c>
      <c r="N160" t="s">
        <v>1214</v>
      </c>
      <c r="O160">
        <v>15</v>
      </c>
      <c r="P160" t="s">
        <v>1217</v>
      </c>
      <c r="Q160" s="2">
        <f t="shared" si="4"/>
        <v>8550.99</v>
      </c>
      <c r="T160" s="2">
        <f t="shared" si="5"/>
        <v>0.13030814689742506</v>
      </c>
    </row>
    <row r="161" spans="1:20" x14ac:dyDescent="0.25">
      <c r="A161" t="s">
        <v>175</v>
      </c>
      <c r="B161" t="s">
        <v>318</v>
      </c>
      <c r="C161" t="s">
        <v>325</v>
      </c>
      <c r="D161" t="s">
        <v>329</v>
      </c>
      <c r="E161" t="s">
        <v>336</v>
      </c>
      <c r="F161" t="s">
        <v>350</v>
      </c>
      <c r="G161" t="s">
        <v>505</v>
      </c>
      <c r="H161">
        <v>30.6</v>
      </c>
      <c r="I161" t="s">
        <v>779</v>
      </c>
      <c r="J161" t="s">
        <v>1075</v>
      </c>
      <c r="K161">
        <v>4.83</v>
      </c>
      <c r="L161">
        <v>116</v>
      </c>
      <c r="M161">
        <v>15.8</v>
      </c>
      <c r="N161" t="s">
        <v>1215</v>
      </c>
      <c r="O161">
        <v>25</v>
      </c>
      <c r="P161" t="s">
        <v>1217</v>
      </c>
      <c r="Q161" s="2">
        <f t="shared" si="4"/>
        <v>1337.91</v>
      </c>
      <c r="T161" s="2">
        <f t="shared" si="5"/>
        <v>0.15784313725490196</v>
      </c>
    </row>
    <row r="162" spans="1:20" x14ac:dyDescent="0.25">
      <c r="A162" t="s">
        <v>176</v>
      </c>
      <c r="B162" t="s">
        <v>318</v>
      </c>
      <c r="C162" t="s">
        <v>324</v>
      </c>
      <c r="D162" t="s">
        <v>330</v>
      </c>
      <c r="E162" t="s">
        <v>339</v>
      </c>
      <c r="F162" t="s">
        <v>354</v>
      </c>
      <c r="G162" t="s">
        <v>506</v>
      </c>
      <c r="H162">
        <v>37.299999999999997</v>
      </c>
      <c r="I162" t="s">
        <v>780</v>
      </c>
      <c r="J162" t="s">
        <v>1076</v>
      </c>
      <c r="K162">
        <v>4.2300000000000004</v>
      </c>
      <c r="L162">
        <v>93</v>
      </c>
      <c r="M162">
        <v>24.1</v>
      </c>
      <c r="N162" t="s">
        <v>1214</v>
      </c>
      <c r="O162">
        <v>5</v>
      </c>
      <c r="P162" t="s">
        <v>1217</v>
      </c>
      <c r="Q162" s="2">
        <f t="shared" si="4"/>
        <v>1171.71</v>
      </c>
      <c r="T162" s="2">
        <f t="shared" si="5"/>
        <v>0.11340482573726543</v>
      </c>
    </row>
    <row r="163" spans="1:20" x14ac:dyDescent="0.25">
      <c r="A163" t="s">
        <v>177</v>
      </c>
      <c r="B163" t="s">
        <v>316</v>
      </c>
      <c r="C163" t="s">
        <v>322</v>
      </c>
      <c r="D163" t="s">
        <v>328</v>
      </c>
      <c r="E163" t="s">
        <v>347</v>
      </c>
      <c r="F163" t="s">
        <v>354</v>
      </c>
      <c r="G163" t="s">
        <v>507</v>
      </c>
      <c r="H163">
        <v>67.3</v>
      </c>
      <c r="I163" t="s">
        <v>781</v>
      </c>
      <c r="J163" t="s">
        <v>1077</v>
      </c>
      <c r="K163">
        <v>7.9</v>
      </c>
      <c r="L163">
        <v>180</v>
      </c>
      <c r="M163">
        <v>22.4</v>
      </c>
      <c r="N163" t="s">
        <v>1214</v>
      </c>
      <c r="O163">
        <v>0</v>
      </c>
      <c r="P163" t="s">
        <v>1218</v>
      </c>
      <c r="Q163" s="2">
        <f t="shared" si="4"/>
        <v>2188.3000000000002</v>
      </c>
      <c r="T163" s="2">
        <f t="shared" si="5"/>
        <v>0.1173848439821694</v>
      </c>
    </row>
    <row r="164" spans="1:20" x14ac:dyDescent="0.25">
      <c r="A164" t="s">
        <v>178</v>
      </c>
      <c r="B164" t="s">
        <v>317</v>
      </c>
      <c r="C164" t="s">
        <v>323</v>
      </c>
      <c r="D164" t="s">
        <v>332</v>
      </c>
      <c r="E164" t="s">
        <v>340</v>
      </c>
      <c r="F164" t="s">
        <v>348</v>
      </c>
      <c r="G164" t="s">
        <v>508</v>
      </c>
      <c r="H164">
        <v>17.7</v>
      </c>
      <c r="I164" t="s">
        <v>782</v>
      </c>
      <c r="J164" t="s">
        <v>1078</v>
      </c>
      <c r="K164">
        <v>2.44</v>
      </c>
      <c r="L164">
        <v>84</v>
      </c>
      <c r="M164">
        <v>12.6</v>
      </c>
      <c r="N164" t="s">
        <v>1215</v>
      </c>
      <c r="O164">
        <v>10</v>
      </c>
      <c r="P164" t="s">
        <v>1217</v>
      </c>
      <c r="Q164" s="2">
        <f t="shared" si="4"/>
        <v>675.88</v>
      </c>
      <c r="T164" s="2">
        <f t="shared" si="5"/>
        <v>0.13785310734463277</v>
      </c>
    </row>
    <row r="165" spans="1:20" x14ac:dyDescent="0.25">
      <c r="A165" t="s">
        <v>179</v>
      </c>
      <c r="B165" t="s">
        <v>318</v>
      </c>
      <c r="C165" t="s">
        <v>325</v>
      </c>
      <c r="D165" t="s">
        <v>329</v>
      </c>
      <c r="E165" t="s">
        <v>334</v>
      </c>
      <c r="F165" t="s">
        <v>353</v>
      </c>
      <c r="G165" t="s">
        <v>509</v>
      </c>
      <c r="H165">
        <v>173.9</v>
      </c>
      <c r="I165" t="s">
        <v>783</v>
      </c>
      <c r="J165" t="s">
        <v>1079</v>
      </c>
      <c r="K165">
        <v>24.34</v>
      </c>
      <c r="L165">
        <v>179</v>
      </c>
      <c r="M165">
        <v>58.3</v>
      </c>
      <c r="N165" t="s">
        <v>1214</v>
      </c>
      <c r="O165">
        <v>0</v>
      </c>
      <c r="P165" t="s">
        <v>1218</v>
      </c>
      <c r="Q165" s="2">
        <f t="shared" si="4"/>
        <v>6742.18</v>
      </c>
      <c r="T165" s="2">
        <f t="shared" si="5"/>
        <v>0.13996549741230591</v>
      </c>
    </row>
    <row r="166" spans="1:20" x14ac:dyDescent="0.25">
      <c r="A166" t="s">
        <v>180</v>
      </c>
      <c r="B166" t="s">
        <v>320</v>
      </c>
      <c r="C166" t="s">
        <v>325</v>
      </c>
      <c r="D166" t="s">
        <v>332</v>
      </c>
      <c r="E166" t="s">
        <v>342</v>
      </c>
      <c r="F166" t="s">
        <v>352</v>
      </c>
      <c r="G166" t="s">
        <v>510</v>
      </c>
      <c r="H166">
        <v>223.3</v>
      </c>
      <c r="I166" t="s">
        <v>784</v>
      </c>
      <c r="J166" t="s">
        <v>1080</v>
      </c>
      <c r="K166">
        <v>30.48</v>
      </c>
      <c r="L166">
        <v>220</v>
      </c>
      <c r="M166">
        <v>60.9</v>
      </c>
      <c r="N166" t="s">
        <v>1215</v>
      </c>
      <c r="O166">
        <v>20</v>
      </c>
      <c r="P166" t="s">
        <v>1217</v>
      </c>
      <c r="Q166" s="2">
        <f t="shared" si="4"/>
        <v>8442.9600000000009</v>
      </c>
      <c r="T166" s="2">
        <f t="shared" si="5"/>
        <v>0.13649798477384684</v>
      </c>
    </row>
    <row r="167" spans="1:20" x14ac:dyDescent="0.25">
      <c r="A167" t="s">
        <v>181</v>
      </c>
      <c r="B167" t="s">
        <v>319</v>
      </c>
      <c r="C167" t="s">
        <v>325</v>
      </c>
      <c r="D167" t="s">
        <v>326</v>
      </c>
      <c r="E167" t="s">
        <v>340</v>
      </c>
      <c r="F167" t="s">
        <v>352</v>
      </c>
      <c r="G167" t="s">
        <v>511</v>
      </c>
      <c r="H167">
        <v>92.2</v>
      </c>
      <c r="I167" t="s">
        <v>785</v>
      </c>
      <c r="J167" t="s">
        <v>1081</v>
      </c>
      <c r="K167">
        <v>14.46</v>
      </c>
      <c r="L167">
        <v>173</v>
      </c>
      <c r="M167">
        <v>32</v>
      </c>
      <c r="N167" t="s">
        <v>1213</v>
      </c>
      <c r="O167">
        <v>15</v>
      </c>
      <c r="P167" t="s">
        <v>1217</v>
      </c>
      <c r="Q167" s="2">
        <f t="shared" si="4"/>
        <v>4005.42</v>
      </c>
      <c r="T167" s="2">
        <f t="shared" si="5"/>
        <v>0.15683297180043385</v>
      </c>
    </row>
    <row r="168" spans="1:20" x14ac:dyDescent="0.25">
      <c r="A168" t="s">
        <v>182</v>
      </c>
      <c r="B168" t="s">
        <v>318</v>
      </c>
      <c r="C168" t="s">
        <v>325</v>
      </c>
      <c r="D168" t="s">
        <v>327</v>
      </c>
      <c r="E168" t="s">
        <v>341</v>
      </c>
      <c r="F168" t="s">
        <v>353</v>
      </c>
      <c r="G168" t="s">
        <v>512</v>
      </c>
      <c r="H168">
        <v>85</v>
      </c>
      <c r="I168" t="s">
        <v>786</v>
      </c>
      <c r="J168" t="s">
        <v>1082</v>
      </c>
      <c r="K168">
        <v>10.23</v>
      </c>
      <c r="L168">
        <v>119</v>
      </c>
      <c r="M168">
        <v>42.9</v>
      </c>
      <c r="N168" t="s">
        <v>1215</v>
      </c>
      <c r="O168">
        <v>5</v>
      </c>
      <c r="P168" t="s">
        <v>1217</v>
      </c>
      <c r="Q168" s="2">
        <f t="shared" si="4"/>
        <v>2833.71</v>
      </c>
      <c r="T168" s="2">
        <f t="shared" si="5"/>
        <v>0.12035294117647059</v>
      </c>
    </row>
    <row r="169" spans="1:20" x14ac:dyDescent="0.25">
      <c r="A169" t="s">
        <v>183</v>
      </c>
      <c r="B169" t="s">
        <v>320</v>
      </c>
      <c r="C169" t="s">
        <v>325</v>
      </c>
      <c r="D169" t="s">
        <v>331</v>
      </c>
      <c r="E169" t="s">
        <v>343</v>
      </c>
      <c r="F169" t="s">
        <v>349</v>
      </c>
      <c r="G169" t="s">
        <v>361</v>
      </c>
      <c r="H169">
        <v>179.7</v>
      </c>
      <c r="I169" t="s">
        <v>787</v>
      </c>
      <c r="J169" t="s">
        <v>1083</v>
      </c>
      <c r="K169">
        <v>28.03</v>
      </c>
      <c r="L169">
        <v>72</v>
      </c>
      <c r="M169">
        <v>77</v>
      </c>
      <c r="N169" t="s">
        <v>1215</v>
      </c>
      <c r="O169">
        <v>0</v>
      </c>
      <c r="P169" t="s">
        <v>1218</v>
      </c>
      <c r="Q169" s="2">
        <f t="shared" si="4"/>
        <v>7764.31</v>
      </c>
      <c r="T169" s="2">
        <f t="shared" si="5"/>
        <v>0.15598219254312745</v>
      </c>
    </row>
    <row r="170" spans="1:20" x14ac:dyDescent="0.25">
      <c r="A170" t="s">
        <v>184</v>
      </c>
      <c r="B170" t="s">
        <v>317</v>
      </c>
      <c r="C170" t="s">
        <v>324</v>
      </c>
      <c r="D170" t="s">
        <v>329</v>
      </c>
      <c r="E170" t="s">
        <v>335</v>
      </c>
      <c r="F170" t="s">
        <v>354</v>
      </c>
      <c r="G170" t="s">
        <v>513</v>
      </c>
      <c r="H170">
        <v>201.6</v>
      </c>
      <c r="I170" t="s">
        <v>788</v>
      </c>
      <c r="J170" t="s">
        <v>852</v>
      </c>
      <c r="K170">
        <v>29.22</v>
      </c>
      <c r="L170">
        <v>176</v>
      </c>
      <c r="M170">
        <v>68.7</v>
      </c>
      <c r="N170" t="s">
        <v>1213</v>
      </c>
      <c r="O170">
        <v>15</v>
      </c>
      <c r="P170" t="s">
        <v>1217</v>
      </c>
      <c r="Q170" s="2">
        <f t="shared" si="4"/>
        <v>8093.94</v>
      </c>
      <c r="T170" s="2">
        <f t="shared" si="5"/>
        <v>0.14494047619047618</v>
      </c>
    </row>
    <row r="171" spans="1:20" x14ac:dyDescent="0.25">
      <c r="A171" t="s">
        <v>185</v>
      </c>
      <c r="B171" t="s">
        <v>320</v>
      </c>
      <c r="C171" t="s">
        <v>322</v>
      </c>
      <c r="D171" t="s">
        <v>327</v>
      </c>
      <c r="E171" t="s">
        <v>338</v>
      </c>
      <c r="F171" t="s">
        <v>352</v>
      </c>
      <c r="G171" t="s">
        <v>514</v>
      </c>
      <c r="H171">
        <v>164.4</v>
      </c>
      <c r="I171" t="s">
        <v>661</v>
      </c>
      <c r="J171" t="s">
        <v>1084</v>
      </c>
      <c r="K171">
        <v>21.48</v>
      </c>
      <c r="L171">
        <v>82</v>
      </c>
      <c r="M171">
        <v>43</v>
      </c>
      <c r="N171" t="s">
        <v>1213</v>
      </c>
      <c r="O171">
        <v>0</v>
      </c>
      <c r="P171" t="s">
        <v>1218</v>
      </c>
      <c r="Q171" s="2">
        <f t="shared" si="4"/>
        <v>5949.96</v>
      </c>
      <c r="T171" s="2">
        <f t="shared" si="5"/>
        <v>0.13065693430656933</v>
      </c>
    </row>
    <row r="172" spans="1:20" x14ac:dyDescent="0.25">
      <c r="A172" t="s">
        <v>186</v>
      </c>
      <c r="B172" t="s">
        <v>316</v>
      </c>
      <c r="C172" t="s">
        <v>323</v>
      </c>
      <c r="D172" t="s">
        <v>326</v>
      </c>
      <c r="E172" t="s">
        <v>336</v>
      </c>
      <c r="F172" t="s">
        <v>354</v>
      </c>
      <c r="G172" t="s">
        <v>515</v>
      </c>
      <c r="H172">
        <v>222.5</v>
      </c>
      <c r="I172" t="s">
        <v>789</v>
      </c>
      <c r="J172" t="s">
        <v>1085</v>
      </c>
      <c r="K172">
        <v>25.11</v>
      </c>
      <c r="L172">
        <v>64</v>
      </c>
      <c r="M172">
        <v>59</v>
      </c>
      <c r="N172" t="s">
        <v>1216</v>
      </c>
      <c r="O172">
        <v>10</v>
      </c>
      <c r="P172" t="s">
        <v>1217</v>
      </c>
      <c r="Q172" s="2">
        <f t="shared" si="4"/>
        <v>6955.47</v>
      </c>
      <c r="T172" s="2">
        <f t="shared" si="5"/>
        <v>0.11285393258426966</v>
      </c>
    </row>
    <row r="173" spans="1:20" x14ac:dyDescent="0.25">
      <c r="A173" t="s">
        <v>187</v>
      </c>
      <c r="B173" t="s">
        <v>319</v>
      </c>
      <c r="C173" t="s">
        <v>322</v>
      </c>
      <c r="D173" t="s">
        <v>330</v>
      </c>
      <c r="E173" t="s">
        <v>340</v>
      </c>
      <c r="F173" t="s">
        <v>354</v>
      </c>
      <c r="G173" t="s">
        <v>516</v>
      </c>
      <c r="H173">
        <v>58.4</v>
      </c>
      <c r="I173" t="s">
        <v>790</v>
      </c>
      <c r="J173" t="s">
        <v>1086</v>
      </c>
      <c r="K173">
        <v>7.3</v>
      </c>
      <c r="L173">
        <v>177</v>
      </c>
      <c r="M173">
        <v>19.8</v>
      </c>
      <c r="N173" t="s">
        <v>1214</v>
      </c>
      <c r="O173">
        <v>0</v>
      </c>
      <c r="P173" t="s">
        <v>1218</v>
      </c>
      <c r="Q173" s="2">
        <f t="shared" si="4"/>
        <v>2022.1</v>
      </c>
      <c r="T173" s="2">
        <f t="shared" si="5"/>
        <v>0.125</v>
      </c>
    </row>
    <row r="174" spans="1:20" x14ac:dyDescent="0.25">
      <c r="A174" t="s">
        <v>188</v>
      </c>
      <c r="B174" t="s">
        <v>318</v>
      </c>
      <c r="C174" t="s">
        <v>323</v>
      </c>
      <c r="D174" t="s">
        <v>327</v>
      </c>
      <c r="E174" t="s">
        <v>344</v>
      </c>
      <c r="F174" t="s">
        <v>352</v>
      </c>
      <c r="G174" t="s">
        <v>474</v>
      </c>
      <c r="H174">
        <v>80.2</v>
      </c>
      <c r="I174" t="s">
        <v>791</v>
      </c>
      <c r="J174" t="s">
        <v>1087</v>
      </c>
      <c r="K174">
        <v>9.61</v>
      </c>
      <c r="L174">
        <v>162</v>
      </c>
      <c r="M174">
        <v>29.7</v>
      </c>
      <c r="N174" t="s">
        <v>1215</v>
      </c>
      <c r="O174">
        <v>0</v>
      </c>
      <c r="P174" t="s">
        <v>1218</v>
      </c>
      <c r="Q174" s="2">
        <f t="shared" si="4"/>
        <v>2661.97</v>
      </c>
      <c r="T174" s="2">
        <f t="shared" si="5"/>
        <v>0.11982543640897754</v>
      </c>
    </row>
    <row r="175" spans="1:20" x14ac:dyDescent="0.25">
      <c r="A175" t="s">
        <v>189</v>
      </c>
      <c r="B175" t="s">
        <v>319</v>
      </c>
      <c r="C175" t="s">
        <v>324</v>
      </c>
      <c r="D175" t="s">
        <v>329</v>
      </c>
      <c r="E175" t="s">
        <v>335</v>
      </c>
      <c r="F175" t="s">
        <v>349</v>
      </c>
      <c r="G175" t="s">
        <v>517</v>
      </c>
      <c r="H175">
        <v>105.4</v>
      </c>
      <c r="I175" t="s">
        <v>792</v>
      </c>
      <c r="J175" t="s">
        <v>1088</v>
      </c>
      <c r="K175">
        <v>12.37</v>
      </c>
      <c r="L175">
        <v>89</v>
      </c>
      <c r="M175">
        <v>71.099999999999994</v>
      </c>
      <c r="N175" t="s">
        <v>1213</v>
      </c>
      <c r="O175">
        <v>15</v>
      </c>
      <c r="P175" t="s">
        <v>1217</v>
      </c>
      <c r="Q175" s="2">
        <f t="shared" si="4"/>
        <v>3426.49</v>
      </c>
      <c r="T175" s="2">
        <f t="shared" si="5"/>
        <v>0.11736242884250472</v>
      </c>
    </row>
    <row r="176" spans="1:20" x14ac:dyDescent="0.25">
      <c r="A176" t="s">
        <v>190</v>
      </c>
      <c r="B176" t="s">
        <v>316</v>
      </c>
      <c r="C176" t="s">
        <v>323</v>
      </c>
      <c r="D176" t="s">
        <v>332</v>
      </c>
      <c r="E176" t="s">
        <v>341</v>
      </c>
      <c r="F176" t="s">
        <v>351</v>
      </c>
      <c r="G176" t="s">
        <v>518</v>
      </c>
      <c r="H176">
        <v>202.1</v>
      </c>
      <c r="I176" t="s">
        <v>793</v>
      </c>
      <c r="J176" t="s">
        <v>1089</v>
      </c>
      <c r="K176">
        <v>23.5</v>
      </c>
      <c r="L176">
        <v>218</v>
      </c>
      <c r="M176">
        <v>55.6</v>
      </c>
      <c r="N176" t="s">
        <v>1213</v>
      </c>
      <c r="O176">
        <v>0</v>
      </c>
      <c r="P176" t="s">
        <v>1218</v>
      </c>
      <c r="Q176" s="2">
        <f t="shared" si="4"/>
        <v>6509.5</v>
      </c>
      <c r="T176" s="2">
        <f t="shared" si="5"/>
        <v>0.11627906976744186</v>
      </c>
    </row>
    <row r="177" spans="1:20" x14ac:dyDescent="0.25">
      <c r="A177" t="s">
        <v>191</v>
      </c>
      <c r="B177" t="s">
        <v>320</v>
      </c>
      <c r="C177" t="s">
        <v>325</v>
      </c>
      <c r="D177" t="s">
        <v>326</v>
      </c>
      <c r="E177" t="s">
        <v>347</v>
      </c>
      <c r="F177" t="s">
        <v>352</v>
      </c>
      <c r="G177" t="s">
        <v>519</v>
      </c>
      <c r="H177">
        <v>146.4</v>
      </c>
      <c r="I177" t="s">
        <v>794</v>
      </c>
      <c r="J177" t="s">
        <v>1090</v>
      </c>
      <c r="K177">
        <v>22.38</v>
      </c>
      <c r="L177">
        <v>150</v>
      </c>
      <c r="M177">
        <v>58.6</v>
      </c>
      <c r="N177" t="s">
        <v>1213</v>
      </c>
      <c r="O177">
        <v>20</v>
      </c>
      <c r="P177" t="s">
        <v>1217</v>
      </c>
      <c r="Q177" s="2">
        <f t="shared" si="4"/>
        <v>6199.2599999999993</v>
      </c>
      <c r="T177" s="2">
        <f t="shared" si="5"/>
        <v>0.15286885245901638</v>
      </c>
    </row>
    <row r="178" spans="1:20" x14ac:dyDescent="0.25">
      <c r="A178" t="s">
        <v>192</v>
      </c>
      <c r="B178" t="s">
        <v>317</v>
      </c>
      <c r="C178" t="s">
        <v>322</v>
      </c>
      <c r="D178" t="s">
        <v>326</v>
      </c>
      <c r="E178" t="s">
        <v>345</v>
      </c>
      <c r="F178" t="s">
        <v>350</v>
      </c>
      <c r="G178" t="s">
        <v>520</v>
      </c>
      <c r="H178">
        <v>241</v>
      </c>
      <c r="I178" t="s">
        <v>795</v>
      </c>
      <c r="J178" t="s">
        <v>1091</v>
      </c>
      <c r="K178">
        <v>40.07</v>
      </c>
      <c r="L178">
        <v>133</v>
      </c>
      <c r="M178">
        <v>52</v>
      </c>
      <c r="N178" t="s">
        <v>1213</v>
      </c>
      <c r="O178">
        <v>25</v>
      </c>
      <c r="P178" t="s">
        <v>1217</v>
      </c>
      <c r="Q178" s="2">
        <f t="shared" si="4"/>
        <v>11099.39</v>
      </c>
      <c r="T178" s="2">
        <f t="shared" si="5"/>
        <v>0.1662655601659751</v>
      </c>
    </row>
    <row r="179" spans="1:20" x14ac:dyDescent="0.25">
      <c r="A179" t="s">
        <v>193</v>
      </c>
      <c r="B179" t="s">
        <v>319</v>
      </c>
      <c r="C179" t="s">
        <v>323</v>
      </c>
      <c r="D179" t="s">
        <v>327</v>
      </c>
      <c r="E179" t="s">
        <v>338</v>
      </c>
      <c r="F179" t="s">
        <v>352</v>
      </c>
      <c r="G179" t="s">
        <v>521</v>
      </c>
      <c r="H179">
        <v>204.7</v>
      </c>
      <c r="I179" t="s">
        <v>796</v>
      </c>
      <c r="J179" t="s">
        <v>1092</v>
      </c>
      <c r="K179">
        <v>23.44</v>
      </c>
      <c r="L179">
        <v>82</v>
      </c>
      <c r="M179">
        <v>71</v>
      </c>
      <c r="N179" t="s">
        <v>1215</v>
      </c>
      <c r="O179">
        <v>20</v>
      </c>
      <c r="P179" t="s">
        <v>1217</v>
      </c>
      <c r="Q179" s="2">
        <f t="shared" si="4"/>
        <v>6492.88</v>
      </c>
      <c r="T179" s="2">
        <f t="shared" si="5"/>
        <v>0.11450903761602346</v>
      </c>
    </row>
    <row r="180" spans="1:20" x14ac:dyDescent="0.25">
      <c r="A180" t="s">
        <v>194</v>
      </c>
      <c r="B180" t="s">
        <v>316</v>
      </c>
      <c r="C180" t="s">
        <v>325</v>
      </c>
      <c r="D180" t="s">
        <v>331</v>
      </c>
      <c r="E180" t="s">
        <v>335</v>
      </c>
      <c r="F180" t="s">
        <v>354</v>
      </c>
      <c r="G180" t="s">
        <v>522</v>
      </c>
      <c r="H180">
        <v>46.7</v>
      </c>
      <c r="I180" t="s">
        <v>797</v>
      </c>
      <c r="J180" t="s">
        <v>1093</v>
      </c>
      <c r="K180">
        <v>7.48</v>
      </c>
      <c r="L180">
        <v>147</v>
      </c>
      <c r="M180">
        <v>19.100000000000001</v>
      </c>
      <c r="N180" t="s">
        <v>1213</v>
      </c>
      <c r="O180">
        <v>5</v>
      </c>
      <c r="P180" t="s">
        <v>1217</v>
      </c>
      <c r="Q180" s="2">
        <f t="shared" si="4"/>
        <v>2071.96</v>
      </c>
      <c r="T180" s="2">
        <f t="shared" si="5"/>
        <v>0.1601713062098501</v>
      </c>
    </row>
    <row r="181" spans="1:20" x14ac:dyDescent="0.25">
      <c r="A181" t="s">
        <v>195</v>
      </c>
      <c r="B181" t="s">
        <v>317</v>
      </c>
      <c r="C181" t="s">
        <v>325</v>
      </c>
      <c r="D181" t="s">
        <v>329</v>
      </c>
      <c r="E181" t="s">
        <v>337</v>
      </c>
      <c r="F181" t="s">
        <v>351</v>
      </c>
      <c r="G181" t="s">
        <v>523</v>
      </c>
      <c r="H181">
        <v>218.7</v>
      </c>
      <c r="I181" t="s">
        <v>798</v>
      </c>
      <c r="J181" t="s">
        <v>1094</v>
      </c>
      <c r="K181">
        <v>32.11</v>
      </c>
      <c r="L181">
        <v>94</v>
      </c>
      <c r="M181">
        <v>73</v>
      </c>
      <c r="N181" t="s">
        <v>1215</v>
      </c>
      <c r="O181">
        <v>25</v>
      </c>
      <c r="P181" t="s">
        <v>1217</v>
      </c>
      <c r="Q181" s="2">
        <f t="shared" si="4"/>
        <v>8894.4699999999993</v>
      </c>
      <c r="T181" s="2">
        <f t="shared" si="5"/>
        <v>0.14682213077274806</v>
      </c>
    </row>
    <row r="182" spans="1:20" x14ac:dyDescent="0.25">
      <c r="A182" t="s">
        <v>196</v>
      </c>
      <c r="B182" t="s">
        <v>318</v>
      </c>
      <c r="C182" t="s">
        <v>324</v>
      </c>
      <c r="D182" t="s">
        <v>332</v>
      </c>
      <c r="E182" t="s">
        <v>344</v>
      </c>
      <c r="F182" t="s">
        <v>348</v>
      </c>
      <c r="G182" t="s">
        <v>390</v>
      </c>
      <c r="H182">
        <v>80.5</v>
      </c>
      <c r="I182" t="s">
        <v>799</v>
      </c>
      <c r="J182" t="s">
        <v>1095</v>
      </c>
      <c r="K182">
        <v>11.95</v>
      </c>
      <c r="L182">
        <v>114</v>
      </c>
      <c r="M182">
        <v>42.4</v>
      </c>
      <c r="N182" t="s">
        <v>1216</v>
      </c>
      <c r="O182">
        <v>5</v>
      </c>
      <c r="P182" t="s">
        <v>1217</v>
      </c>
      <c r="Q182" s="2">
        <f t="shared" si="4"/>
        <v>3310.1499999999996</v>
      </c>
      <c r="T182" s="2">
        <f t="shared" si="5"/>
        <v>0.14844720496894409</v>
      </c>
    </row>
    <row r="183" spans="1:20" x14ac:dyDescent="0.25">
      <c r="A183" t="s">
        <v>197</v>
      </c>
      <c r="B183" t="s">
        <v>317</v>
      </c>
      <c r="C183" t="s">
        <v>325</v>
      </c>
      <c r="D183" t="s">
        <v>327</v>
      </c>
      <c r="E183" t="s">
        <v>346</v>
      </c>
      <c r="F183" t="s">
        <v>353</v>
      </c>
      <c r="G183" t="s">
        <v>515</v>
      </c>
      <c r="H183">
        <v>18.899999999999999</v>
      </c>
      <c r="I183" t="s">
        <v>800</v>
      </c>
      <c r="J183" t="s">
        <v>790</v>
      </c>
      <c r="K183">
        <v>2.48</v>
      </c>
      <c r="L183">
        <v>88</v>
      </c>
      <c r="M183">
        <v>12.9</v>
      </c>
      <c r="N183" t="s">
        <v>1216</v>
      </c>
      <c r="O183">
        <v>20</v>
      </c>
      <c r="P183" t="s">
        <v>1217</v>
      </c>
      <c r="Q183" s="2">
        <f t="shared" si="4"/>
        <v>686.96</v>
      </c>
      <c r="T183" s="2">
        <f t="shared" si="5"/>
        <v>0.13121693121693123</v>
      </c>
    </row>
    <row r="184" spans="1:20" x14ac:dyDescent="0.25">
      <c r="A184" t="s">
        <v>198</v>
      </c>
      <c r="B184" t="s">
        <v>316</v>
      </c>
      <c r="C184" t="s">
        <v>325</v>
      </c>
      <c r="D184" t="s">
        <v>326</v>
      </c>
      <c r="E184" t="s">
        <v>343</v>
      </c>
      <c r="F184" t="s">
        <v>351</v>
      </c>
      <c r="G184" t="s">
        <v>524</v>
      </c>
      <c r="H184">
        <v>66.5</v>
      </c>
      <c r="I184" t="s">
        <v>801</v>
      </c>
      <c r="J184" t="s">
        <v>1096</v>
      </c>
      <c r="K184">
        <v>8.64</v>
      </c>
      <c r="L184">
        <v>152</v>
      </c>
      <c r="M184">
        <v>26.2</v>
      </c>
      <c r="N184" t="s">
        <v>1214</v>
      </c>
      <c r="O184">
        <v>10</v>
      </c>
      <c r="P184" t="s">
        <v>1217</v>
      </c>
      <c r="Q184" s="2">
        <f t="shared" si="4"/>
        <v>2393.2800000000002</v>
      </c>
      <c r="T184" s="2">
        <f t="shared" si="5"/>
        <v>0.12992481203007519</v>
      </c>
    </row>
    <row r="185" spans="1:20" x14ac:dyDescent="0.25">
      <c r="A185" t="s">
        <v>199</v>
      </c>
      <c r="B185" t="s">
        <v>321</v>
      </c>
      <c r="C185" t="s">
        <v>325</v>
      </c>
      <c r="D185" t="s">
        <v>329</v>
      </c>
      <c r="E185" t="s">
        <v>342</v>
      </c>
      <c r="F185" t="s">
        <v>352</v>
      </c>
      <c r="G185" t="s">
        <v>525</v>
      </c>
      <c r="H185">
        <v>46.4</v>
      </c>
      <c r="I185" t="s">
        <v>802</v>
      </c>
      <c r="J185" t="s">
        <v>1097</v>
      </c>
      <c r="K185">
        <v>7.45</v>
      </c>
      <c r="L185">
        <v>143</v>
      </c>
      <c r="M185">
        <v>19.5</v>
      </c>
      <c r="N185" t="s">
        <v>1215</v>
      </c>
      <c r="O185">
        <v>20</v>
      </c>
      <c r="P185" t="s">
        <v>1217</v>
      </c>
      <c r="Q185" s="2">
        <f t="shared" si="4"/>
        <v>2063.65</v>
      </c>
      <c r="T185" s="2">
        <f t="shared" si="5"/>
        <v>0.16056034482758622</v>
      </c>
    </row>
    <row r="186" spans="1:20" x14ac:dyDescent="0.25">
      <c r="A186" t="s">
        <v>200</v>
      </c>
      <c r="B186" t="s">
        <v>320</v>
      </c>
      <c r="C186" t="s">
        <v>322</v>
      </c>
      <c r="D186" t="s">
        <v>331</v>
      </c>
      <c r="E186" t="s">
        <v>346</v>
      </c>
      <c r="F186" t="s">
        <v>350</v>
      </c>
      <c r="G186" t="s">
        <v>403</v>
      </c>
      <c r="H186">
        <v>94</v>
      </c>
      <c r="I186" t="s">
        <v>803</v>
      </c>
      <c r="J186" t="s">
        <v>1098</v>
      </c>
      <c r="K186">
        <v>11.07</v>
      </c>
      <c r="L186">
        <v>191</v>
      </c>
      <c r="M186">
        <v>29.5</v>
      </c>
      <c r="N186" t="s">
        <v>1216</v>
      </c>
      <c r="O186">
        <v>15</v>
      </c>
      <c r="P186" t="s">
        <v>1217</v>
      </c>
      <c r="Q186" s="2">
        <f t="shared" si="4"/>
        <v>3066.39</v>
      </c>
      <c r="T186" s="2">
        <f t="shared" si="5"/>
        <v>0.11776595744680851</v>
      </c>
    </row>
    <row r="187" spans="1:20" x14ac:dyDescent="0.25">
      <c r="A187" t="s">
        <v>201</v>
      </c>
      <c r="B187" t="s">
        <v>320</v>
      </c>
      <c r="C187" t="s">
        <v>323</v>
      </c>
      <c r="D187" t="s">
        <v>328</v>
      </c>
      <c r="E187" t="s">
        <v>339</v>
      </c>
      <c r="F187" t="s">
        <v>350</v>
      </c>
      <c r="G187" t="s">
        <v>526</v>
      </c>
      <c r="H187">
        <v>127.1</v>
      </c>
      <c r="I187" t="s">
        <v>804</v>
      </c>
      <c r="J187" t="s">
        <v>1099</v>
      </c>
      <c r="K187">
        <v>15.21</v>
      </c>
      <c r="L187">
        <v>192</v>
      </c>
      <c r="M187">
        <v>39.700000000000003</v>
      </c>
      <c r="N187" t="s">
        <v>1216</v>
      </c>
      <c r="O187">
        <v>0</v>
      </c>
      <c r="P187" t="s">
        <v>1218</v>
      </c>
      <c r="Q187" s="2">
        <f t="shared" si="4"/>
        <v>4213.17</v>
      </c>
      <c r="T187" s="2">
        <f t="shared" si="5"/>
        <v>0.11966955153422504</v>
      </c>
    </row>
    <row r="188" spans="1:20" x14ac:dyDescent="0.25">
      <c r="A188" t="s">
        <v>202</v>
      </c>
      <c r="B188" t="s">
        <v>317</v>
      </c>
      <c r="C188" t="s">
        <v>325</v>
      </c>
      <c r="D188" t="s">
        <v>329</v>
      </c>
      <c r="E188" t="s">
        <v>337</v>
      </c>
      <c r="F188" t="s">
        <v>354</v>
      </c>
      <c r="G188" t="s">
        <v>371</v>
      </c>
      <c r="H188">
        <v>34.200000000000003</v>
      </c>
      <c r="I188" t="s">
        <v>805</v>
      </c>
      <c r="J188" t="s">
        <v>1100</v>
      </c>
      <c r="K188">
        <v>4.34</v>
      </c>
      <c r="L188">
        <v>143</v>
      </c>
      <c r="M188">
        <v>14.3</v>
      </c>
      <c r="N188" t="s">
        <v>1216</v>
      </c>
      <c r="O188">
        <v>25</v>
      </c>
      <c r="P188" t="s">
        <v>1217</v>
      </c>
      <c r="Q188" s="2">
        <f t="shared" si="4"/>
        <v>1202.18</v>
      </c>
      <c r="T188" s="2">
        <f t="shared" si="5"/>
        <v>0.12690058479532162</v>
      </c>
    </row>
    <row r="189" spans="1:20" x14ac:dyDescent="0.25">
      <c r="A189" t="s">
        <v>203</v>
      </c>
      <c r="B189" t="s">
        <v>317</v>
      </c>
      <c r="C189" t="s">
        <v>323</v>
      </c>
      <c r="D189" t="s">
        <v>326</v>
      </c>
      <c r="E189" t="s">
        <v>334</v>
      </c>
      <c r="F189" t="s">
        <v>354</v>
      </c>
      <c r="G189" t="s">
        <v>527</v>
      </c>
      <c r="H189">
        <v>81.5</v>
      </c>
      <c r="I189" t="s">
        <v>806</v>
      </c>
      <c r="J189" t="s">
        <v>1101</v>
      </c>
      <c r="K189">
        <v>10.220000000000001</v>
      </c>
      <c r="L189">
        <v>175</v>
      </c>
      <c r="M189">
        <v>27.9</v>
      </c>
      <c r="N189" t="s">
        <v>1215</v>
      </c>
      <c r="O189">
        <v>5</v>
      </c>
      <c r="P189" t="s">
        <v>1217</v>
      </c>
      <c r="Q189" s="2">
        <f t="shared" si="4"/>
        <v>2830.94</v>
      </c>
      <c r="T189" s="2">
        <f t="shared" si="5"/>
        <v>0.12539877300613497</v>
      </c>
    </row>
    <row r="190" spans="1:20" x14ac:dyDescent="0.25">
      <c r="A190" t="s">
        <v>204</v>
      </c>
      <c r="B190" t="s">
        <v>318</v>
      </c>
      <c r="C190" t="s">
        <v>323</v>
      </c>
      <c r="D190" t="s">
        <v>326</v>
      </c>
      <c r="E190" t="s">
        <v>335</v>
      </c>
      <c r="F190" t="s">
        <v>348</v>
      </c>
      <c r="G190" t="s">
        <v>528</v>
      </c>
      <c r="H190">
        <v>18.2</v>
      </c>
      <c r="I190" t="s">
        <v>807</v>
      </c>
      <c r="J190" t="s">
        <v>1102</v>
      </c>
      <c r="K190">
        <v>2.71</v>
      </c>
      <c r="L190">
        <v>232</v>
      </c>
      <c r="M190">
        <v>4.7</v>
      </c>
      <c r="N190" t="s">
        <v>1214</v>
      </c>
      <c r="O190">
        <v>25</v>
      </c>
      <c r="P190" t="s">
        <v>1217</v>
      </c>
      <c r="Q190" s="2">
        <f t="shared" si="4"/>
        <v>750.67</v>
      </c>
      <c r="T190" s="2">
        <f t="shared" si="5"/>
        <v>0.1489010989010989</v>
      </c>
    </row>
    <row r="191" spans="1:20" x14ac:dyDescent="0.25">
      <c r="A191" t="s">
        <v>205</v>
      </c>
      <c r="B191" t="s">
        <v>317</v>
      </c>
      <c r="C191" t="s">
        <v>324</v>
      </c>
      <c r="D191" t="s">
        <v>327</v>
      </c>
      <c r="E191" t="s">
        <v>342</v>
      </c>
      <c r="F191" t="s">
        <v>349</v>
      </c>
      <c r="G191" t="s">
        <v>529</v>
      </c>
      <c r="H191">
        <v>67.900000000000006</v>
      </c>
      <c r="I191" t="s">
        <v>808</v>
      </c>
      <c r="J191" t="s">
        <v>1103</v>
      </c>
      <c r="K191">
        <v>10.5</v>
      </c>
      <c r="L191">
        <v>196</v>
      </c>
      <c r="M191">
        <v>20.8</v>
      </c>
      <c r="N191" t="s">
        <v>1215</v>
      </c>
      <c r="O191">
        <v>25</v>
      </c>
      <c r="P191" t="s">
        <v>1217</v>
      </c>
      <c r="Q191" s="2">
        <f t="shared" si="4"/>
        <v>2908.5</v>
      </c>
      <c r="T191" s="2">
        <f t="shared" si="5"/>
        <v>0.15463917525773194</v>
      </c>
    </row>
    <row r="192" spans="1:20" x14ac:dyDescent="0.25">
      <c r="A192" t="s">
        <v>206</v>
      </c>
      <c r="B192" t="s">
        <v>316</v>
      </c>
      <c r="C192" t="s">
        <v>324</v>
      </c>
      <c r="D192" t="s">
        <v>331</v>
      </c>
      <c r="E192" t="s">
        <v>343</v>
      </c>
      <c r="F192" t="s">
        <v>351</v>
      </c>
      <c r="G192" t="s">
        <v>530</v>
      </c>
      <c r="H192">
        <v>76</v>
      </c>
      <c r="I192" t="s">
        <v>809</v>
      </c>
      <c r="J192" t="s">
        <v>1104</v>
      </c>
      <c r="K192">
        <v>10.84</v>
      </c>
      <c r="L192">
        <v>158</v>
      </c>
      <c r="M192">
        <v>28.9</v>
      </c>
      <c r="N192" t="s">
        <v>1214</v>
      </c>
      <c r="O192">
        <v>15</v>
      </c>
      <c r="P192" t="s">
        <v>1217</v>
      </c>
      <c r="Q192" s="2">
        <f t="shared" si="4"/>
        <v>3002.68</v>
      </c>
      <c r="T192" s="2">
        <f t="shared" si="5"/>
        <v>0.14263157894736841</v>
      </c>
    </row>
    <row r="193" spans="1:20" x14ac:dyDescent="0.25">
      <c r="A193" t="s">
        <v>207</v>
      </c>
      <c r="B193" t="s">
        <v>320</v>
      </c>
      <c r="C193" t="s">
        <v>322</v>
      </c>
      <c r="D193" t="s">
        <v>327</v>
      </c>
      <c r="E193" t="s">
        <v>342</v>
      </c>
      <c r="F193" t="s">
        <v>352</v>
      </c>
      <c r="G193" t="s">
        <v>531</v>
      </c>
      <c r="H193">
        <v>152.30000000000001</v>
      </c>
      <c r="I193" t="s">
        <v>810</v>
      </c>
      <c r="J193" t="s">
        <v>1105</v>
      </c>
      <c r="K193">
        <v>21.32</v>
      </c>
      <c r="L193">
        <v>57</v>
      </c>
      <c r="M193">
        <v>53</v>
      </c>
      <c r="N193" t="s">
        <v>1213</v>
      </c>
      <c r="O193">
        <v>0</v>
      </c>
      <c r="P193" t="s">
        <v>1218</v>
      </c>
      <c r="Q193" s="2">
        <f t="shared" si="4"/>
        <v>5905.64</v>
      </c>
      <c r="T193" s="2">
        <f t="shared" si="5"/>
        <v>0.13998686802363755</v>
      </c>
    </row>
    <row r="194" spans="1:20" x14ac:dyDescent="0.25">
      <c r="A194" t="s">
        <v>208</v>
      </c>
      <c r="B194" t="s">
        <v>318</v>
      </c>
      <c r="C194" t="s">
        <v>325</v>
      </c>
      <c r="D194" t="s">
        <v>327</v>
      </c>
      <c r="E194" t="s">
        <v>341</v>
      </c>
      <c r="F194" t="s">
        <v>350</v>
      </c>
      <c r="G194" t="s">
        <v>532</v>
      </c>
      <c r="H194">
        <v>182.3</v>
      </c>
      <c r="I194" t="s">
        <v>811</v>
      </c>
      <c r="J194" t="s">
        <v>1106</v>
      </c>
      <c r="K194">
        <v>20.91</v>
      </c>
      <c r="L194">
        <v>213</v>
      </c>
      <c r="M194">
        <v>51.4</v>
      </c>
      <c r="N194" t="s">
        <v>1214</v>
      </c>
      <c r="O194">
        <v>15</v>
      </c>
      <c r="P194" t="s">
        <v>1217</v>
      </c>
      <c r="Q194" s="2">
        <f t="shared" si="4"/>
        <v>5792.07</v>
      </c>
      <c r="T194" s="2">
        <f t="shared" si="5"/>
        <v>0.11470104223806911</v>
      </c>
    </row>
    <row r="195" spans="1:20" x14ac:dyDescent="0.25">
      <c r="A195" t="s">
        <v>209</v>
      </c>
      <c r="B195" t="s">
        <v>321</v>
      </c>
      <c r="C195" t="s">
        <v>323</v>
      </c>
      <c r="D195" t="s">
        <v>326</v>
      </c>
      <c r="E195" t="s">
        <v>347</v>
      </c>
      <c r="F195" t="s">
        <v>352</v>
      </c>
      <c r="G195" t="s">
        <v>533</v>
      </c>
      <c r="H195">
        <v>19.3</v>
      </c>
      <c r="I195" t="s">
        <v>812</v>
      </c>
      <c r="J195" t="s">
        <v>1107</v>
      </c>
      <c r="K195">
        <v>2.5</v>
      </c>
      <c r="L195">
        <v>89</v>
      </c>
      <c r="M195">
        <v>13</v>
      </c>
      <c r="N195" t="s">
        <v>1215</v>
      </c>
      <c r="O195">
        <v>0</v>
      </c>
      <c r="P195" t="s">
        <v>1218</v>
      </c>
      <c r="Q195" s="2">
        <f t="shared" ref="Q195:Q258" si="6">K195*277</f>
        <v>692.5</v>
      </c>
      <c r="T195" s="2">
        <f t="shared" ref="T195:T258" si="7">K195/H195</f>
        <v>0.12953367875647667</v>
      </c>
    </row>
    <row r="196" spans="1:20" x14ac:dyDescent="0.25">
      <c r="A196" t="s">
        <v>210</v>
      </c>
      <c r="B196" t="s">
        <v>319</v>
      </c>
      <c r="C196" t="s">
        <v>324</v>
      </c>
      <c r="D196" t="s">
        <v>327</v>
      </c>
      <c r="E196" t="s">
        <v>335</v>
      </c>
      <c r="F196" t="s">
        <v>350</v>
      </c>
      <c r="G196" t="s">
        <v>534</v>
      </c>
      <c r="H196">
        <v>48.4</v>
      </c>
      <c r="I196" t="s">
        <v>813</v>
      </c>
      <c r="J196" t="s">
        <v>1108</v>
      </c>
      <c r="K196">
        <v>6.31</v>
      </c>
      <c r="L196">
        <v>48</v>
      </c>
      <c r="M196">
        <v>60.5</v>
      </c>
      <c r="N196" t="s">
        <v>1214</v>
      </c>
      <c r="O196">
        <v>5</v>
      </c>
      <c r="P196" t="s">
        <v>1217</v>
      </c>
      <c r="Q196" s="2">
        <f t="shared" si="6"/>
        <v>1747.87</v>
      </c>
      <c r="T196" s="2">
        <f t="shared" si="7"/>
        <v>0.13037190082644629</v>
      </c>
    </row>
    <row r="197" spans="1:20" x14ac:dyDescent="0.25">
      <c r="A197" t="s">
        <v>211</v>
      </c>
      <c r="B197" t="s">
        <v>319</v>
      </c>
      <c r="C197" t="s">
        <v>323</v>
      </c>
      <c r="D197" t="s">
        <v>332</v>
      </c>
      <c r="E197" t="s">
        <v>341</v>
      </c>
      <c r="F197" t="s">
        <v>351</v>
      </c>
      <c r="G197" t="s">
        <v>491</v>
      </c>
      <c r="H197">
        <v>210.1</v>
      </c>
      <c r="I197" t="s">
        <v>814</v>
      </c>
      <c r="J197" t="s">
        <v>1109</v>
      </c>
      <c r="K197">
        <v>29.45</v>
      </c>
      <c r="L197">
        <v>63</v>
      </c>
      <c r="M197">
        <v>81</v>
      </c>
      <c r="N197" t="s">
        <v>1215</v>
      </c>
      <c r="O197">
        <v>25</v>
      </c>
      <c r="P197" t="s">
        <v>1217</v>
      </c>
      <c r="Q197" s="2">
        <f t="shared" si="6"/>
        <v>8157.65</v>
      </c>
      <c r="T197" s="2">
        <f t="shared" si="7"/>
        <v>0.1401713469776297</v>
      </c>
    </row>
    <row r="198" spans="1:20" x14ac:dyDescent="0.25">
      <c r="A198" t="s">
        <v>212</v>
      </c>
      <c r="B198" t="s">
        <v>318</v>
      </c>
      <c r="C198" t="s">
        <v>325</v>
      </c>
      <c r="D198" t="s">
        <v>327</v>
      </c>
      <c r="E198" t="s">
        <v>345</v>
      </c>
      <c r="F198" t="s">
        <v>353</v>
      </c>
      <c r="G198" t="s">
        <v>535</v>
      </c>
      <c r="H198">
        <v>121.3</v>
      </c>
      <c r="I198" t="s">
        <v>815</v>
      </c>
      <c r="J198" t="s">
        <v>1110</v>
      </c>
      <c r="K198">
        <v>17.68</v>
      </c>
      <c r="L198">
        <v>212</v>
      </c>
      <c r="M198">
        <v>34.299999999999997</v>
      </c>
      <c r="N198" t="s">
        <v>1216</v>
      </c>
      <c r="O198">
        <v>15</v>
      </c>
      <c r="P198" t="s">
        <v>1217</v>
      </c>
      <c r="Q198" s="2">
        <f t="shared" si="6"/>
        <v>4897.3599999999997</v>
      </c>
      <c r="T198" s="2">
        <f t="shared" si="7"/>
        <v>0.14575432811211872</v>
      </c>
    </row>
    <row r="199" spans="1:20" x14ac:dyDescent="0.25">
      <c r="A199" t="s">
        <v>213</v>
      </c>
      <c r="B199" t="s">
        <v>316</v>
      </c>
      <c r="C199" t="s">
        <v>323</v>
      </c>
      <c r="D199" t="s">
        <v>327</v>
      </c>
      <c r="E199" t="s">
        <v>335</v>
      </c>
      <c r="F199" t="s">
        <v>348</v>
      </c>
      <c r="G199" t="s">
        <v>536</v>
      </c>
      <c r="H199">
        <v>243.7</v>
      </c>
      <c r="I199" t="s">
        <v>816</v>
      </c>
      <c r="J199" t="s">
        <v>1111</v>
      </c>
      <c r="K199">
        <v>33.119999999999997</v>
      </c>
      <c r="L199">
        <v>68</v>
      </c>
      <c r="M199">
        <v>82</v>
      </c>
      <c r="N199" t="s">
        <v>1214</v>
      </c>
      <c r="O199">
        <v>25</v>
      </c>
      <c r="P199" t="s">
        <v>1217</v>
      </c>
      <c r="Q199" s="2">
        <f t="shared" si="6"/>
        <v>9174.24</v>
      </c>
      <c r="T199" s="2">
        <f t="shared" si="7"/>
        <v>0.13590480098481739</v>
      </c>
    </row>
    <row r="200" spans="1:20" x14ac:dyDescent="0.25">
      <c r="A200" t="s">
        <v>214</v>
      </c>
      <c r="B200" t="s">
        <v>316</v>
      </c>
      <c r="C200" t="s">
        <v>323</v>
      </c>
      <c r="D200" t="s">
        <v>331</v>
      </c>
      <c r="E200" t="s">
        <v>347</v>
      </c>
      <c r="F200" t="s">
        <v>353</v>
      </c>
      <c r="G200" t="s">
        <v>537</v>
      </c>
      <c r="H200">
        <v>120.7</v>
      </c>
      <c r="I200" t="s">
        <v>817</v>
      </c>
      <c r="J200" t="s">
        <v>1112</v>
      </c>
      <c r="K200">
        <v>16.079999999999998</v>
      </c>
      <c r="L200">
        <v>169</v>
      </c>
      <c r="M200">
        <v>42.9</v>
      </c>
      <c r="N200" t="s">
        <v>1215</v>
      </c>
      <c r="O200">
        <v>0</v>
      </c>
      <c r="P200" t="s">
        <v>1218</v>
      </c>
      <c r="Q200" s="2">
        <f t="shared" si="6"/>
        <v>4454.16</v>
      </c>
      <c r="T200" s="2">
        <f t="shared" si="7"/>
        <v>0.13322286661143329</v>
      </c>
    </row>
    <row r="201" spans="1:20" x14ac:dyDescent="0.25">
      <c r="A201" t="s">
        <v>215</v>
      </c>
      <c r="B201" t="s">
        <v>319</v>
      </c>
      <c r="C201" t="s">
        <v>325</v>
      </c>
      <c r="D201" t="s">
        <v>329</v>
      </c>
      <c r="E201" t="s">
        <v>341</v>
      </c>
      <c r="F201" t="s">
        <v>348</v>
      </c>
      <c r="G201" t="s">
        <v>538</v>
      </c>
      <c r="H201">
        <v>145.9</v>
      </c>
      <c r="I201" t="s">
        <v>818</v>
      </c>
      <c r="J201" t="s">
        <v>1113</v>
      </c>
      <c r="K201">
        <v>20.76</v>
      </c>
      <c r="L201">
        <v>154</v>
      </c>
      <c r="M201">
        <v>56.8</v>
      </c>
      <c r="N201" t="s">
        <v>1216</v>
      </c>
      <c r="O201">
        <v>5</v>
      </c>
      <c r="P201" t="s">
        <v>1217</v>
      </c>
      <c r="Q201" s="2">
        <f t="shared" si="6"/>
        <v>5750.52</v>
      </c>
      <c r="T201" s="2">
        <f t="shared" si="7"/>
        <v>0.14228923920493489</v>
      </c>
    </row>
    <row r="202" spans="1:20" x14ac:dyDescent="0.25">
      <c r="A202" t="s">
        <v>216</v>
      </c>
      <c r="B202" t="s">
        <v>316</v>
      </c>
      <c r="C202" t="s">
        <v>323</v>
      </c>
      <c r="D202" t="s">
        <v>327</v>
      </c>
      <c r="E202" t="s">
        <v>333</v>
      </c>
      <c r="F202" t="s">
        <v>352</v>
      </c>
      <c r="G202" t="s">
        <v>539</v>
      </c>
      <c r="H202">
        <v>245.9</v>
      </c>
      <c r="I202" t="s">
        <v>819</v>
      </c>
      <c r="J202" t="s">
        <v>1114</v>
      </c>
      <c r="K202">
        <v>35.700000000000003</v>
      </c>
      <c r="L202">
        <v>209</v>
      </c>
      <c r="M202">
        <v>70.599999999999994</v>
      </c>
      <c r="N202" t="s">
        <v>1214</v>
      </c>
      <c r="O202">
        <v>0</v>
      </c>
      <c r="P202" t="s">
        <v>1218</v>
      </c>
      <c r="Q202" s="2">
        <f t="shared" si="6"/>
        <v>9888.9000000000015</v>
      </c>
      <c r="T202" s="2">
        <f t="shared" si="7"/>
        <v>0.14518096787311915</v>
      </c>
    </row>
    <row r="203" spans="1:20" x14ac:dyDescent="0.25">
      <c r="A203" t="s">
        <v>217</v>
      </c>
      <c r="B203" t="s">
        <v>318</v>
      </c>
      <c r="C203" t="s">
        <v>324</v>
      </c>
      <c r="D203" t="s">
        <v>329</v>
      </c>
      <c r="E203" t="s">
        <v>333</v>
      </c>
      <c r="F203" t="s">
        <v>352</v>
      </c>
      <c r="G203" t="s">
        <v>540</v>
      </c>
      <c r="H203">
        <v>125.5</v>
      </c>
      <c r="I203" t="s">
        <v>820</v>
      </c>
      <c r="J203" t="s">
        <v>1115</v>
      </c>
      <c r="K203">
        <v>19.690000000000001</v>
      </c>
      <c r="L203">
        <v>165</v>
      </c>
      <c r="M203">
        <v>45.6</v>
      </c>
      <c r="N203" t="s">
        <v>1214</v>
      </c>
      <c r="O203">
        <v>10</v>
      </c>
      <c r="P203" t="s">
        <v>1217</v>
      </c>
      <c r="Q203" s="2">
        <f t="shared" si="6"/>
        <v>5454.13</v>
      </c>
      <c r="T203" s="2">
        <f t="shared" si="7"/>
        <v>0.15689243027888447</v>
      </c>
    </row>
    <row r="204" spans="1:20" x14ac:dyDescent="0.25">
      <c r="A204" t="s">
        <v>218</v>
      </c>
      <c r="B204" t="s">
        <v>318</v>
      </c>
      <c r="C204" t="s">
        <v>323</v>
      </c>
      <c r="D204" t="s">
        <v>332</v>
      </c>
      <c r="E204" t="s">
        <v>338</v>
      </c>
      <c r="F204" t="s">
        <v>349</v>
      </c>
      <c r="G204" t="s">
        <v>541</v>
      </c>
      <c r="H204">
        <v>177.1</v>
      </c>
      <c r="I204" t="s">
        <v>821</v>
      </c>
      <c r="J204" t="s">
        <v>1116</v>
      </c>
      <c r="K204">
        <v>27.53</v>
      </c>
      <c r="L204">
        <v>61</v>
      </c>
      <c r="M204">
        <v>67</v>
      </c>
      <c r="N204" t="s">
        <v>1215</v>
      </c>
      <c r="O204">
        <v>25</v>
      </c>
      <c r="P204" t="s">
        <v>1217</v>
      </c>
      <c r="Q204" s="2">
        <f t="shared" si="6"/>
        <v>7625.81</v>
      </c>
      <c r="T204" s="2">
        <f t="shared" si="7"/>
        <v>0.1554488989271598</v>
      </c>
    </row>
    <row r="205" spans="1:20" x14ac:dyDescent="0.25">
      <c r="A205" t="s">
        <v>219</v>
      </c>
      <c r="B205" t="s">
        <v>321</v>
      </c>
      <c r="C205" t="s">
        <v>325</v>
      </c>
      <c r="D205" t="s">
        <v>327</v>
      </c>
      <c r="E205" t="s">
        <v>340</v>
      </c>
      <c r="F205" t="s">
        <v>350</v>
      </c>
      <c r="G205" t="s">
        <v>542</v>
      </c>
      <c r="H205">
        <v>210.5</v>
      </c>
      <c r="I205" t="s">
        <v>822</v>
      </c>
      <c r="J205" t="s">
        <v>1117</v>
      </c>
      <c r="K205">
        <v>31.25</v>
      </c>
      <c r="L205">
        <v>170</v>
      </c>
      <c r="M205">
        <v>74.3</v>
      </c>
      <c r="N205" t="s">
        <v>1215</v>
      </c>
      <c r="O205">
        <v>5</v>
      </c>
      <c r="P205" t="s">
        <v>1217</v>
      </c>
      <c r="Q205" s="2">
        <f t="shared" si="6"/>
        <v>8656.25</v>
      </c>
      <c r="T205" s="2">
        <f t="shared" si="7"/>
        <v>0.14845605700712589</v>
      </c>
    </row>
    <row r="206" spans="1:20" x14ac:dyDescent="0.25">
      <c r="A206" t="s">
        <v>220</v>
      </c>
      <c r="B206" t="s">
        <v>318</v>
      </c>
      <c r="C206" t="s">
        <v>322</v>
      </c>
      <c r="D206" t="s">
        <v>326</v>
      </c>
      <c r="E206" t="s">
        <v>344</v>
      </c>
      <c r="F206" t="s">
        <v>354</v>
      </c>
      <c r="G206" t="s">
        <v>543</v>
      </c>
      <c r="H206">
        <v>210.9</v>
      </c>
      <c r="I206" t="s">
        <v>823</v>
      </c>
      <c r="J206" t="s">
        <v>1118</v>
      </c>
      <c r="K206">
        <v>26.78</v>
      </c>
      <c r="L206">
        <v>191</v>
      </c>
      <c r="M206">
        <v>66.3</v>
      </c>
      <c r="N206" t="s">
        <v>1216</v>
      </c>
      <c r="O206">
        <v>15</v>
      </c>
      <c r="P206" t="s">
        <v>1217</v>
      </c>
      <c r="Q206" s="2">
        <f t="shared" si="6"/>
        <v>7418.06</v>
      </c>
      <c r="T206" s="2">
        <f t="shared" si="7"/>
        <v>0.12697961119013751</v>
      </c>
    </row>
    <row r="207" spans="1:20" x14ac:dyDescent="0.25">
      <c r="A207" t="s">
        <v>221</v>
      </c>
      <c r="B207" t="s">
        <v>316</v>
      </c>
      <c r="C207" t="s">
        <v>323</v>
      </c>
      <c r="D207" t="s">
        <v>329</v>
      </c>
      <c r="E207" t="s">
        <v>334</v>
      </c>
      <c r="F207" t="s">
        <v>353</v>
      </c>
      <c r="G207" t="s">
        <v>544</v>
      </c>
      <c r="H207">
        <v>93.1</v>
      </c>
      <c r="I207" t="s">
        <v>824</v>
      </c>
      <c r="J207" t="s">
        <v>1119</v>
      </c>
      <c r="K207">
        <v>13.42</v>
      </c>
      <c r="L207">
        <v>81</v>
      </c>
      <c r="M207">
        <v>69</v>
      </c>
      <c r="N207" t="s">
        <v>1215</v>
      </c>
      <c r="O207">
        <v>20</v>
      </c>
      <c r="P207" t="s">
        <v>1217</v>
      </c>
      <c r="Q207" s="2">
        <f t="shared" si="6"/>
        <v>3717.34</v>
      </c>
      <c r="T207" s="2">
        <f t="shared" si="7"/>
        <v>0.14414607948442534</v>
      </c>
    </row>
    <row r="208" spans="1:20" x14ac:dyDescent="0.25">
      <c r="A208" t="s">
        <v>222</v>
      </c>
      <c r="B208" t="s">
        <v>317</v>
      </c>
      <c r="C208" t="s">
        <v>325</v>
      </c>
      <c r="D208" t="s">
        <v>329</v>
      </c>
      <c r="E208" t="s">
        <v>334</v>
      </c>
      <c r="F208" t="s">
        <v>349</v>
      </c>
      <c r="G208" t="s">
        <v>420</v>
      </c>
      <c r="H208">
        <v>189.2</v>
      </c>
      <c r="I208" t="s">
        <v>825</v>
      </c>
      <c r="J208" t="s">
        <v>1120</v>
      </c>
      <c r="K208">
        <v>29.74</v>
      </c>
      <c r="L208">
        <v>203</v>
      </c>
      <c r="M208">
        <v>55.9</v>
      </c>
      <c r="N208" t="s">
        <v>1214</v>
      </c>
      <c r="O208">
        <v>0</v>
      </c>
      <c r="P208" t="s">
        <v>1218</v>
      </c>
      <c r="Q208" s="2">
        <f t="shared" si="6"/>
        <v>8237.98</v>
      </c>
      <c r="T208" s="2">
        <f t="shared" si="7"/>
        <v>0.15718816067653277</v>
      </c>
    </row>
    <row r="209" spans="1:20" x14ac:dyDescent="0.25">
      <c r="A209" t="s">
        <v>223</v>
      </c>
      <c r="B209" t="s">
        <v>321</v>
      </c>
      <c r="C209" t="s">
        <v>323</v>
      </c>
      <c r="D209" t="s">
        <v>327</v>
      </c>
      <c r="E209" t="s">
        <v>342</v>
      </c>
      <c r="F209" t="s">
        <v>354</v>
      </c>
      <c r="G209" t="s">
        <v>545</v>
      </c>
      <c r="H209">
        <v>113.2</v>
      </c>
      <c r="I209" t="s">
        <v>826</v>
      </c>
      <c r="J209" t="s">
        <v>1121</v>
      </c>
      <c r="K209">
        <v>12.74</v>
      </c>
      <c r="L209">
        <v>151</v>
      </c>
      <c r="M209">
        <v>45</v>
      </c>
      <c r="N209" t="s">
        <v>1215</v>
      </c>
      <c r="O209">
        <v>15</v>
      </c>
      <c r="P209" t="s">
        <v>1217</v>
      </c>
      <c r="Q209" s="2">
        <f t="shared" si="6"/>
        <v>3528.98</v>
      </c>
      <c r="T209" s="2">
        <f t="shared" si="7"/>
        <v>0.11254416961130742</v>
      </c>
    </row>
    <row r="210" spans="1:20" x14ac:dyDescent="0.25">
      <c r="A210" t="s">
        <v>224</v>
      </c>
      <c r="B210" t="s">
        <v>316</v>
      </c>
      <c r="C210" t="s">
        <v>322</v>
      </c>
      <c r="D210" t="s">
        <v>332</v>
      </c>
      <c r="E210" t="s">
        <v>338</v>
      </c>
      <c r="F210" t="s">
        <v>351</v>
      </c>
      <c r="G210" t="s">
        <v>546</v>
      </c>
      <c r="H210">
        <v>83.3</v>
      </c>
      <c r="I210" t="s">
        <v>827</v>
      </c>
      <c r="J210" t="s">
        <v>1122</v>
      </c>
      <c r="K210">
        <v>13.24</v>
      </c>
      <c r="L210">
        <v>91</v>
      </c>
      <c r="M210">
        <v>54.9</v>
      </c>
      <c r="N210" t="s">
        <v>1216</v>
      </c>
      <c r="O210">
        <v>20</v>
      </c>
      <c r="P210" t="s">
        <v>1217</v>
      </c>
      <c r="Q210" s="2">
        <f t="shared" si="6"/>
        <v>3667.48</v>
      </c>
      <c r="T210" s="2">
        <f t="shared" si="7"/>
        <v>0.1589435774309724</v>
      </c>
    </row>
    <row r="211" spans="1:20" x14ac:dyDescent="0.25">
      <c r="A211" t="s">
        <v>225</v>
      </c>
      <c r="B211" t="s">
        <v>320</v>
      </c>
      <c r="C211" t="s">
        <v>325</v>
      </c>
      <c r="D211" t="s">
        <v>328</v>
      </c>
      <c r="E211" t="s">
        <v>340</v>
      </c>
      <c r="F211" t="s">
        <v>354</v>
      </c>
      <c r="G211" t="s">
        <v>547</v>
      </c>
      <c r="H211">
        <v>25.6</v>
      </c>
      <c r="I211" t="s">
        <v>828</v>
      </c>
      <c r="J211" t="s">
        <v>1123</v>
      </c>
      <c r="K211">
        <v>3.34</v>
      </c>
      <c r="L211">
        <v>105</v>
      </c>
      <c r="M211">
        <v>14.6</v>
      </c>
      <c r="N211" t="s">
        <v>1214</v>
      </c>
      <c r="O211">
        <v>0</v>
      </c>
      <c r="P211" t="s">
        <v>1218</v>
      </c>
      <c r="Q211" s="2">
        <f t="shared" si="6"/>
        <v>925.18</v>
      </c>
      <c r="T211" s="2">
        <f t="shared" si="7"/>
        <v>0.13046874999999999</v>
      </c>
    </row>
    <row r="212" spans="1:20" x14ac:dyDescent="0.25">
      <c r="A212" t="s">
        <v>226</v>
      </c>
      <c r="B212" t="s">
        <v>321</v>
      </c>
      <c r="C212" t="s">
        <v>324</v>
      </c>
      <c r="D212" t="s">
        <v>331</v>
      </c>
      <c r="E212" t="s">
        <v>334</v>
      </c>
      <c r="F212" t="s">
        <v>353</v>
      </c>
      <c r="G212" t="s">
        <v>548</v>
      </c>
      <c r="H212">
        <v>220.7</v>
      </c>
      <c r="I212" t="s">
        <v>829</v>
      </c>
      <c r="J212" t="s">
        <v>1124</v>
      </c>
      <c r="K212">
        <v>25.71</v>
      </c>
      <c r="L212">
        <v>184</v>
      </c>
      <c r="M212">
        <v>72</v>
      </c>
      <c r="N212" t="s">
        <v>1213</v>
      </c>
      <c r="O212">
        <v>0</v>
      </c>
      <c r="P212" t="s">
        <v>1218</v>
      </c>
      <c r="Q212" s="2">
        <f t="shared" si="6"/>
        <v>7121.67</v>
      </c>
      <c r="T212" s="2">
        <f t="shared" si="7"/>
        <v>0.11649297689170821</v>
      </c>
    </row>
    <row r="213" spans="1:20" x14ac:dyDescent="0.25">
      <c r="A213" t="s">
        <v>227</v>
      </c>
      <c r="B213" t="s">
        <v>319</v>
      </c>
      <c r="C213" t="s">
        <v>322</v>
      </c>
      <c r="D213" t="s">
        <v>331</v>
      </c>
      <c r="E213" t="s">
        <v>336</v>
      </c>
      <c r="F213" t="s">
        <v>353</v>
      </c>
      <c r="G213" t="s">
        <v>549</v>
      </c>
      <c r="H213">
        <v>73.5</v>
      </c>
      <c r="I213" t="s">
        <v>830</v>
      </c>
      <c r="J213" t="s">
        <v>1125</v>
      </c>
      <c r="K213">
        <v>12.11</v>
      </c>
      <c r="L213">
        <v>126</v>
      </c>
      <c r="M213">
        <v>35</v>
      </c>
      <c r="N213" t="s">
        <v>1215</v>
      </c>
      <c r="O213">
        <v>15</v>
      </c>
      <c r="P213" t="s">
        <v>1217</v>
      </c>
      <c r="Q213" s="2">
        <f t="shared" si="6"/>
        <v>3354.47</v>
      </c>
      <c r="T213" s="2">
        <f t="shared" si="7"/>
        <v>0.16476190476190475</v>
      </c>
    </row>
    <row r="214" spans="1:20" x14ac:dyDescent="0.25">
      <c r="A214" t="s">
        <v>228</v>
      </c>
      <c r="B214" t="s">
        <v>316</v>
      </c>
      <c r="C214" t="s">
        <v>324</v>
      </c>
      <c r="D214" t="s">
        <v>330</v>
      </c>
      <c r="E214" t="s">
        <v>333</v>
      </c>
      <c r="F214" t="s">
        <v>351</v>
      </c>
      <c r="G214" t="s">
        <v>480</v>
      </c>
      <c r="H214">
        <v>57.5</v>
      </c>
      <c r="I214" t="s">
        <v>831</v>
      </c>
      <c r="J214" t="s">
        <v>1126</v>
      </c>
      <c r="K214">
        <v>7.76</v>
      </c>
      <c r="L214">
        <v>73</v>
      </c>
      <c r="M214">
        <v>47.3</v>
      </c>
      <c r="N214" t="s">
        <v>1213</v>
      </c>
      <c r="O214">
        <v>10</v>
      </c>
      <c r="P214" t="s">
        <v>1217</v>
      </c>
      <c r="Q214" s="2">
        <f t="shared" si="6"/>
        <v>2149.52</v>
      </c>
      <c r="T214" s="2">
        <f t="shared" si="7"/>
        <v>0.13495652173913042</v>
      </c>
    </row>
    <row r="215" spans="1:20" x14ac:dyDescent="0.25">
      <c r="A215" t="s">
        <v>229</v>
      </c>
      <c r="B215" t="s">
        <v>321</v>
      </c>
      <c r="C215" t="s">
        <v>325</v>
      </c>
      <c r="D215" t="s">
        <v>330</v>
      </c>
      <c r="E215" t="s">
        <v>334</v>
      </c>
      <c r="F215" t="s">
        <v>353</v>
      </c>
      <c r="G215" t="s">
        <v>550</v>
      </c>
      <c r="H215">
        <v>166.5</v>
      </c>
      <c r="I215" t="s">
        <v>832</v>
      </c>
      <c r="J215" t="s">
        <v>1127</v>
      </c>
      <c r="K215">
        <v>19.68</v>
      </c>
      <c r="L215">
        <v>146</v>
      </c>
      <c r="M215">
        <v>68.400000000000006</v>
      </c>
      <c r="N215" t="s">
        <v>1216</v>
      </c>
      <c r="O215">
        <v>0</v>
      </c>
      <c r="P215" t="s">
        <v>1218</v>
      </c>
      <c r="Q215" s="2">
        <f t="shared" si="6"/>
        <v>5451.36</v>
      </c>
      <c r="T215" s="2">
        <f t="shared" si="7"/>
        <v>0.1181981981981982</v>
      </c>
    </row>
    <row r="216" spans="1:20" x14ac:dyDescent="0.25">
      <c r="A216" t="s">
        <v>230</v>
      </c>
      <c r="B216" t="s">
        <v>316</v>
      </c>
      <c r="C216" t="s">
        <v>323</v>
      </c>
      <c r="D216" t="s">
        <v>326</v>
      </c>
      <c r="E216" t="s">
        <v>339</v>
      </c>
      <c r="F216" t="s">
        <v>353</v>
      </c>
      <c r="G216" t="s">
        <v>551</v>
      </c>
      <c r="H216">
        <v>168.6</v>
      </c>
      <c r="I216" t="s">
        <v>833</v>
      </c>
      <c r="J216" t="s">
        <v>1128</v>
      </c>
      <c r="K216">
        <v>20.91</v>
      </c>
      <c r="L216">
        <v>181</v>
      </c>
      <c r="M216">
        <v>55.9</v>
      </c>
      <c r="N216" t="s">
        <v>1214</v>
      </c>
      <c r="O216">
        <v>25</v>
      </c>
      <c r="P216" t="s">
        <v>1217</v>
      </c>
      <c r="Q216" s="2">
        <f t="shared" si="6"/>
        <v>5792.07</v>
      </c>
      <c r="T216" s="2">
        <f t="shared" si="7"/>
        <v>0.12402135231316727</v>
      </c>
    </row>
    <row r="217" spans="1:20" x14ac:dyDescent="0.25">
      <c r="A217" t="s">
        <v>231</v>
      </c>
      <c r="B217" t="s">
        <v>320</v>
      </c>
      <c r="C217" t="s">
        <v>323</v>
      </c>
      <c r="D217" t="s">
        <v>330</v>
      </c>
      <c r="E217" t="s">
        <v>345</v>
      </c>
      <c r="F217" t="s">
        <v>352</v>
      </c>
      <c r="G217" t="s">
        <v>552</v>
      </c>
      <c r="H217">
        <v>150.5</v>
      </c>
      <c r="I217" t="s">
        <v>834</v>
      </c>
      <c r="J217" t="s">
        <v>1129</v>
      </c>
      <c r="K217">
        <v>24.59</v>
      </c>
      <c r="L217">
        <v>127</v>
      </c>
      <c r="M217">
        <v>71.099999999999994</v>
      </c>
      <c r="N217" t="s">
        <v>1213</v>
      </c>
      <c r="O217">
        <v>5</v>
      </c>
      <c r="P217" t="s">
        <v>1217</v>
      </c>
      <c r="Q217" s="2">
        <f t="shared" si="6"/>
        <v>6811.43</v>
      </c>
      <c r="T217" s="2">
        <f t="shared" si="7"/>
        <v>0.16338870431893687</v>
      </c>
    </row>
    <row r="218" spans="1:20" x14ac:dyDescent="0.25">
      <c r="A218" t="s">
        <v>232</v>
      </c>
      <c r="B218" t="s">
        <v>319</v>
      </c>
      <c r="C218" t="s">
        <v>322</v>
      </c>
      <c r="D218" t="s">
        <v>327</v>
      </c>
      <c r="E218" t="s">
        <v>347</v>
      </c>
      <c r="F218" t="s">
        <v>349</v>
      </c>
      <c r="G218" t="s">
        <v>553</v>
      </c>
      <c r="H218">
        <v>236.8</v>
      </c>
      <c r="I218" t="s">
        <v>835</v>
      </c>
      <c r="J218" t="s">
        <v>1130</v>
      </c>
      <c r="K218">
        <v>30.9</v>
      </c>
      <c r="L218">
        <v>200</v>
      </c>
      <c r="M218">
        <v>71</v>
      </c>
      <c r="N218" t="s">
        <v>1213</v>
      </c>
      <c r="O218">
        <v>10</v>
      </c>
      <c r="P218" t="s">
        <v>1217</v>
      </c>
      <c r="Q218" s="2">
        <f t="shared" si="6"/>
        <v>8559.2999999999993</v>
      </c>
      <c r="T218" s="2">
        <f t="shared" si="7"/>
        <v>0.13048986486486486</v>
      </c>
    </row>
    <row r="219" spans="1:20" x14ac:dyDescent="0.25">
      <c r="A219" t="s">
        <v>233</v>
      </c>
      <c r="B219" t="s">
        <v>321</v>
      </c>
      <c r="C219" t="s">
        <v>323</v>
      </c>
      <c r="D219" t="s">
        <v>327</v>
      </c>
      <c r="E219" t="s">
        <v>341</v>
      </c>
      <c r="F219" t="s">
        <v>352</v>
      </c>
      <c r="G219" t="s">
        <v>554</v>
      </c>
      <c r="H219">
        <v>196.2</v>
      </c>
      <c r="I219" t="s">
        <v>836</v>
      </c>
      <c r="J219" t="s">
        <v>1131</v>
      </c>
      <c r="K219">
        <v>26.64</v>
      </c>
      <c r="L219">
        <v>185</v>
      </c>
      <c r="M219">
        <v>63.6</v>
      </c>
      <c r="N219" t="s">
        <v>1215</v>
      </c>
      <c r="O219">
        <v>20</v>
      </c>
      <c r="P219" t="s">
        <v>1217</v>
      </c>
      <c r="Q219" s="2">
        <f t="shared" si="6"/>
        <v>7379.28</v>
      </c>
      <c r="T219" s="2">
        <f t="shared" si="7"/>
        <v>0.13577981651376148</v>
      </c>
    </row>
    <row r="220" spans="1:20" x14ac:dyDescent="0.25">
      <c r="A220" t="s">
        <v>234</v>
      </c>
      <c r="B220" t="s">
        <v>321</v>
      </c>
      <c r="C220" t="s">
        <v>322</v>
      </c>
      <c r="D220" t="s">
        <v>327</v>
      </c>
      <c r="E220" t="s">
        <v>340</v>
      </c>
      <c r="F220" t="s">
        <v>349</v>
      </c>
      <c r="G220" t="s">
        <v>555</v>
      </c>
      <c r="H220">
        <v>98.3</v>
      </c>
      <c r="I220" t="s">
        <v>837</v>
      </c>
      <c r="J220" t="s">
        <v>1132</v>
      </c>
      <c r="K220">
        <v>12.93</v>
      </c>
      <c r="L220">
        <v>142</v>
      </c>
      <c r="M220">
        <v>41.5</v>
      </c>
      <c r="N220" t="s">
        <v>1215</v>
      </c>
      <c r="O220">
        <v>15</v>
      </c>
      <c r="P220" t="s">
        <v>1217</v>
      </c>
      <c r="Q220" s="2">
        <f t="shared" si="6"/>
        <v>3581.61</v>
      </c>
      <c r="T220" s="2">
        <f t="shared" si="7"/>
        <v>0.13153611393692777</v>
      </c>
    </row>
    <row r="221" spans="1:20" x14ac:dyDescent="0.25">
      <c r="A221" t="s">
        <v>235</v>
      </c>
      <c r="B221" t="s">
        <v>321</v>
      </c>
      <c r="C221" t="s">
        <v>325</v>
      </c>
      <c r="D221" t="s">
        <v>329</v>
      </c>
      <c r="E221" t="s">
        <v>340</v>
      </c>
      <c r="F221" t="s">
        <v>349</v>
      </c>
      <c r="G221" t="s">
        <v>556</v>
      </c>
      <c r="H221">
        <v>31</v>
      </c>
      <c r="I221" t="s">
        <v>838</v>
      </c>
      <c r="J221" t="s">
        <v>1133</v>
      </c>
      <c r="K221">
        <v>4.2300000000000004</v>
      </c>
      <c r="L221">
        <v>147</v>
      </c>
      <c r="M221">
        <v>12.7</v>
      </c>
      <c r="N221" t="s">
        <v>1215</v>
      </c>
      <c r="O221">
        <v>0</v>
      </c>
      <c r="P221" t="s">
        <v>1218</v>
      </c>
      <c r="Q221" s="2">
        <f t="shared" si="6"/>
        <v>1171.71</v>
      </c>
      <c r="T221" s="2">
        <f t="shared" si="7"/>
        <v>0.13645161290322583</v>
      </c>
    </row>
    <row r="222" spans="1:20" x14ac:dyDescent="0.25">
      <c r="A222" t="s">
        <v>236</v>
      </c>
      <c r="B222" t="s">
        <v>321</v>
      </c>
      <c r="C222" t="s">
        <v>323</v>
      </c>
      <c r="D222" t="s">
        <v>331</v>
      </c>
      <c r="E222" t="s">
        <v>339</v>
      </c>
      <c r="F222" t="s">
        <v>352</v>
      </c>
      <c r="G222" t="s">
        <v>513</v>
      </c>
      <c r="H222">
        <v>139.5</v>
      </c>
      <c r="I222" t="s">
        <v>839</v>
      </c>
      <c r="J222" t="s">
        <v>1134</v>
      </c>
      <c r="K222">
        <v>16.010000000000002</v>
      </c>
      <c r="L222">
        <v>115</v>
      </c>
      <c r="M222">
        <v>72.8</v>
      </c>
      <c r="N222" t="s">
        <v>1214</v>
      </c>
      <c r="O222">
        <v>0</v>
      </c>
      <c r="P222" t="s">
        <v>1218</v>
      </c>
      <c r="Q222" s="2">
        <f t="shared" si="6"/>
        <v>4434.7700000000004</v>
      </c>
      <c r="T222" s="2">
        <f t="shared" si="7"/>
        <v>0.11476702508960575</v>
      </c>
    </row>
    <row r="223" spans="1:20" x14ac:dyDescent="0.25">
      <c r="A223" t="s">
        <v>237</v>
      </c>
      <c r="B223" t="s">
        <v>316</v>
      </c>
      <c r="C223" t="s">
        <v>324</v>
      </c>
      <c r="D223" t="s">
        <v>332</v>
      </c>
      <c r="E223" t="s">
        <v>340</v>
      </c>
      <c r="F223" t="s">
        <v>349</v>
      </c>
      <c r="G223" t="s">
        <v>557</v>
      </c>
      <c r="H223">
        <v>129.5</v>
      </c>
      <c r="I223" t="s">
        <v>840</v>
      </c>
      <c r="J223" t="s">
        <v>1135</v>
      </c>
      <c r="K223">
        <v>14.54</v>
      </c>
      <c r="L223">
        <v>224</v>
      </c>
      <c r="M223">
        <v>34.700000000000003</v>
      </c>
      <c r="N223" t="s">
        <v>1213</v>
      </c>
      <c r="O223">
        <v>25</v>
      </c>
      <c r="P223" t="s">
        <v>1217</v>
      </c>
      <c r="Q223" s="2">
        <f t="shared" si="6"/>
        <v>4027.58</v>
      </c>
      <c r="T223" s="2">
        <f t="shared" si="7"/>
        <v>0.11227799227799228</v>
      </c>
    </row>
    <row r="224" spans="1:20" x14ac:dyDescent="0.25">
      <c r="A224" t="s">
        <v>238</v>
      </c>
      <c r="B224" t="s">
        <v>321</v>
      </c>
      <c r="C224" t="s">
        <v>324</v>
      </c>
      <c r="D224" t="s">
        <v>327</v>
      </c>
      <c r="E224" t="s">
        <v>341</v>
      </c>
      <c r="F224" t="s">
        <v>349</v>
      </c>
      <c r="G224" t="s">
        <v>558</v>
      </c>
      <c r="H224">
        <v>229.9</v>
      </c>
      <c r="I224" t="s">
        <v>841</v>
      </c>
      <c r="J224" t="s">
        <v>1136</v>
      </c>
      <c r="K224">
        <v>33.28</v>
      </c>
      <c r="L224">
        <v>190</v>
      </c>
      <c r="M224">
        <v>72.599999999999994</v>
      </c>
      <c r="N224" t="s">
        <v>1213</v>
      </c>
      <c r="O224">
        <v>5</v>
      </c>
      <c r="P224" t="s">
        <v>1217</v>
      </c>
      <c r="Q224" s="2">
        <f t="shared" si="6"/>
        <v>9218.56</v>
      </c>
      <c r="T224" s="2">
        <f t="shared" si="7"/>
        <v>0.14475859069160504</v>
      </c>
    </row>
    <row r="225" spans="1:20" x14ac:dyDescent="0.25">
      <c r="A225" t="s">
        <v>239</v>
      </c>
      <c r="B225" t="s">
        <v>319</v>
      </c>
      <c r="C225" t="s">
        <v>325</v>
      </c>
      <c r="D225" t="s">
        <v>331</v>
      </c>
      <c r="E225" t="s">
        <v>334</v>
      </c>
      <c r="F225" t="s">
        <v>353</v>
      </c>
      <c r="G225" t="s">
        <v>559</v>
      </c>
      <c r="H225">
        <v>74.7</v>
      </c>
      <c r="I225" t="s">
        <v>842</v>
      </c>
      <c r="J225" t="s">
        <v>1137</v>
      </c>
      <c r="K225">
        <v>10.33</v>
      </c>
      <c r="L225">
        <v>182</v>
      </c>
      <c r="M225">
        <v>24.6</v>
      </c>
      <c r="N225" t="s">
        <v>1215</v>
      </c>
      <c r="O225">
        <v>0</v>
      </c>
      <c r="P225" t="s">
        <v>1218</v>
      </c>
      <c r="Q225" s="2">
        <f t="shared" si="6"/>
        <v>2861.41</v>
      </c>
      <c r="T225" s="2">
        <f t="shared" si="7"/>
        <v>0.13828647925033466</v>
      </c>
    </row>
    <row r="226" spans="1:20" x14ac:dyDescent="0.25">
      <c r="A226" t="s">
        <v>240</v>
      </c>
      <c r="B226" t="s">
        <v>321</v>
      </c>
      <c r="C226" t="s">
        <v>322</v>
      </c>
      <c r="D226" t="s">
        <v>329</v>
      </c>
      <c r="E226" t="s">
        <v>343</v>
      </c>
      <c r="F226" t="s">
        <v>351</v>
      </c>
      <c r="G226" t="s">
        <v>560</v>
      </c>
      <c r="H226">
        <v>151.4</v>
      </c>
      <c r="I226" t="s">
        <v>843</v>
      </c>
      <c r="J226" t="s">
        <v>1138</v>
      </c>
      <c r="K226">
        <v>24.84</v>
      </c>
      <c r="L226">
        <v>52</v>
      </c>
      <c r="M226">
        <v>52</v>
      </c>
      <c r="N226" t="s">
        <v>1216</v>
      </c>
      <c r="O226">
        <v>25</v>
      </c>
      <c r="P226" t="s">
        <v>1217</v>
      </c>
      <c r="Q226" s="2">
        <f t="shared" si="6"/>
        <v>6880.68</v>
      </c>
      <c r="T226" s="2">
        <f t="shared" si="7"/>
        <v>0.16406869220607662</v>
      </c>
    </row>
    <row r="227" spans="1:20" x14ac:dyDescent="0.25">
      <c r="A227" t="s">
        <v>241</v>
      </c>
      <c r="B227" t="s">
        <v>320</v>
      </c>
      <c r="C227" t="s">
        <v>322</v>
      </c>
      <c r="D227" t="s">
        <v>331</v>
      </c>
      <c r="E227" t="s">
        <v>338</v>
      </c>
      <c r="F227" t="s">
        <v>354</v>
      </c>
      <c r="G227" t="s">
        <v>561</v>
      </c>
      <c r="H227">
        <v>150.19999999999999</v>
      </c>
      <c r="I227" t="s">
        <v>844</v>
      </c>
      <c r="J227" t="s">
        <v>1139</v>
      </c>
      <c r="K227">
        <v>19.62</v>
      </c>
      <c r="L227">
        <v>115</v>
      </c>
      <c r="M227">
        <v>78.400000000000006</v>
      </c>
      <c r="N227" t="s">
        <v>1216</v>
      </c>
      <c r="O227">
        <v>15</v>
      </c>
      <c r="P227" t="s">
        <v>1217</v>
      </c>
      <c r="Q227" s="2">
        <f t="shared" si="6"/>
        <v>5434.7400000000007</v>
      </c>
      <c r="T227" s="2">
        <f t="shared" si="7"/>
        <v>0.13062583222370175</v>
      </c>
    </row>
    <row r="228" spans="1:20" x14ac:dyDescent="0.25">
      <c r="A228" t="s">
        <v>242</v>
      </c>
      <c r="B228" t="s">
        <v>318</v>
      </c>
      <c r="C228" t="s">
        <v>324</v>
      </c>
      <c r="D228" t="s">
        <v>332</v>
      </c>
      <c r="E228" t="s">
        <v>337</v>
      </c>
      <c r="F228" t="s">
        <v>349</v>
      </c>
      <c r="G228" t="s">
        <v>562</v>
      </c>
      <c r="H228">
        <v>163</v>
      </c>
      <c r="I228" t="s">
        <v>845</v>
      </c>
      <c r="J228" t="s">
        <v>1140</v>
      </c>
      <c r="K228">
        <v>26.38</v>
      </c>
      <c r="L228">
        <v>194</v>
      </c>
      <c r="M228">
        <v>50.4</v>
      </c>
      <c r="N228" t="s">
        <v>1216</v>
      </c>
      <c r="O228">
        <v>0</v>
      </c>
      <c r="P228" t="s">
        <v>1218</v>
      </c>
      <c r="Q228" s="2">
        <f t="shared" si="6"/>
        <v>7307.2599999999993</v>
      </c>
      <c r="T228" s="2">
        <f t="shared" si="7"/>
        <v>0.161840490797546</v>
      </c>
    </row>
    <row r="229" spans="1:20" x14ac:dyDescent="0.25">
      <c r="A229" t="s">
        <v>243</v>
      </c>
      <c r="B229" t="s">
        <v>320</v>
      </c>
      <c r="C229" t="s">
        <v>322</v>
      </c>
      <c r="D229" t="s">
        <v>327</v>
      </c>
      <c r="E229" t="s">
        <v>345</v>
      </c>
      <c r="F229" t="s">
        <v>351</v>
      </c>
      <c r="G229" t="s">
        <v>563</v>
      </c>
      <c r="H229">
        <v>101.3</v>
      </c>
      <c r="I229" t="s">
        <v>846</v>
      </c>
      <c r="J229" t="s">
        <v>1141</v>
      </c>
      <c r="K229">
        <v>14.56</v>
      </c>
      <c r="L229">
        <v>111</v>
      </c>
      <c r="M229">
        <v>54.8</v>
      </c>
      <c r="N229" t="s">
        <v>1214</v>
      </c>
      <c r="O229">
        <v>25</v>
      </c>
      <c r="P229" t="s">
        <v>1217</v>
      </c>
      <c r="Q229" s="2">
        <f t="shared" si="6"/>
        <v>4033.1200000000003</v>
      </c>
      <c r="T229" s="2">
        <f t="shared" si="7"/>
        <v>0.14373149062191512</v>
      </c>
    </row>
    <row r="230" spans="1:20" x14ac:dyDescent="0.25">
      <c r="A230" t="s">
        <v>244</v>
      </c>
      <c r="B230" t="s">
        <v>317</v>
      </c>
      <c r="C230" t="s">
        <v>323</v>
      </c>
      <c r="D230" t="s">
        <v>332</v>
      </c>
      <c r="E230" t="s">
        <v>336</v>
      </c>
      <c r="F230" t="s">
        <v>349</v>
      </c>
      <c r="G230" t="s">
        <v>564</v>
      </c>
      <c r="H230">
        <v>61.8</v>
      </c>
      <c r="I230" t="s">
        <v>847</v>
      </c>
      <c r="J230" t="s">
        <v>1142</v>
      </c>
      <c r="K230">
        <v>9.4600000000000009</v>
      </c>
      <c r="L230">
        <v>60</v>
      </c>
      <c r="M230">
        <v>61.8</v>
      </c>
      <c r="N230" t="s">
        <v>1213</v>
      </c>
      <c r="O230">
        <v>20</v>
      </c>
      <c r="P230" t="s">
        <v>1217</v>
      </c>
      <c r="Q230" s="2">
        <f t="shared" si="6"/>
        <v>2620.42</v>
      </c>
      <c r="T230" s="2">
        <f t="shared" si="7"/>
        <v>0.15307443365695794</v>
      </c>
    </row>
    <row r="231" spans="1:20" x14ac:dyDescent="0.25">
      <c r="A231" t="s">
        <v>245</v>
      </c>
      <c r="B231" t="s">
        <v>316</v>
      </c>
      <c r="C231" t="s">
        <v>324</v>
      </c>
      <c r="D231" t="s">
        <v>327</v>
      </c>
      <c r="E231" t="s">
        <v>336</v>
      </c>
      <c r="F231" t="s">
        <v>350</v>
      </c>
      <c r="G231" t="s">
        <v>565</v>
      </c>
      <c r="H231">
        <v>25.7</v>
      </c>
      <c r="I231" t="s">
        <v>848</v>
      </c>
      <c r="J231" t="s">
        <v>1143</v>
      </c>
      <c r="K231">
        <v>2.95</v>
      </c>
      <c r="L231">
        <v>154</v>
      </c>
      <c r="M231">
        <v>10</v>
      </c>
      <c r="N231" t="s">
        <v>1216</v>
      </c>
      <c r="O231">
        <v>25</v>
      </c>
      <c r="P231" t="s">
        <v>1217</v>
      </c>
      <c r="Q231" s="2">
        <f t="shared" si="6"/>
        <v>817.15000000000009</v>
      </c>
      <c r="T231" s="2">
        <f t="shared" si="7"/>
        <v>0.11478599221789884</v>
      </c>
    </row>
    <row r="232" spans="1:20" x14ac:dyDescent="0.25">
      <c r="A232" t="s">
        <v>246</v>
      </c>
      <c r="B232" t="s">
        <v>319</v>
      </c>
      <c r="C232" t="s">
        <v>325</v>
      </c>
      <c r="D232" t="s">
        <v>327</v>
      </c>
      <c r="E232" t="s">
        <v>336</v>
      </c>
      <c r="F232" t="s">
        <v>349</v>
      </c>
      <c r="G232" t="s">
        <v>566</v>
      </c>
      <c r="H232">
        <v>10.9</v>
      </c>
      <c r="I232" t="s">
        <v>849</v>
      </c>
      <c r="J232" t="s">
        <v>1144</v>
      </c>
      <c r="K232">
        <v>1.44</v>
      </c>
      <c r="L232">
        <v>183</v>
      </c>
      <c r="M232">
        <v>3.6</v>
      </c>
      <c r="N232" t="s">
        <v>1215</v>
      </c>
      <c r="O232">
        <v>0</v>
      </c>
      <c r="P232" t="s">
        <v>1218</v>
      </c>
      <c r="Q232" s="2">
        <f t="shared" si="6"/>
        <v>398.88</v>
      </c>
      <c r="T232" s="2">
        <f t="shared" si="7"/>
        <v>0.13211009174311925</v>
      </c>
    </row>
    <row r="233" spans="1:20" x14ac:dyDescent="0.25">
      <c r="A233" t="s">
        <v>247</v>
      </c>
      <c r="B233" t="s">
        <v>318</v>
      </c>
      <c r="C233" t="s">
        <v>322</v>
      </c>
      <c r="D233" t="s">
        <v>329</v>
      </c>
      <c r="E233" t="s">
        <v>343</v>
      </c>
      <c r="F233" t="s">
        <v>350</v>
      </c>
      <c r="G233" t="s">
        <v>567</v>
      </c>
      <c r="H233">
        <v>225.3</v>
      </c>
      <c r="I233" t="s">
        <v>850</v>
      </c>
      <c r="J233" t="s">
        <v>1145</v>
      </c>
      <c r="K233">
        <v>27.23</v>
      </c>
      <c r="L233">
        <v>195</v>
      </c>
      <c r="M233">
        <v>69.3</v>
      </c>
      <c r="N233" t="s">
        <v>1214</v>
      </c>
      <c r="O233">
        <v>10</v>
      </c>
      <c r="P233" t="s">
        <v>1217</v>
      </c>
      <c r="Q233" s="2">
        <f t="shared" si="6"/>
        <v>7542.71</v>
      </c>
      <c r="T233" s="2">
        <f t="shared" si="7"/>
        <v>0.12086107412339103</v>
      </c>
    </row>
    <row r="234" spans="1:20" x14ac:dyDescent="0.25">
      <c r="A234" t="s">
        <v>248</v>
      </c>
      <c r="B234" t="s">
        <v>316</v>
      </c>
      <c r="C234" t="s">
        <v>324</v>
      </c>
      <c r="D234" t="s">
        <v>331</v>
      </c>
      <c r="E234" t="s">
        <v>335</v>
      </c>
      <c r="F234" t="s">
        <v>353</v>
      </c>
      <c r="G234" t="s">
        <v>568</v>
      </c>
      <c r="H234">
        <v>131.9</v>
      </c>
      <c r="I234" t="s">
        <v>851</v>
      </c>
      <c r="J234" t="s">
        <v>1146</v>
      </c>
      <c r="K234">
        <v>14.68</v>
      </c>
      <c r="L234">
        <v>88</v>
      </c>
      <c r="M234">
        <v>89.9</v>
      </c>
      <c r="N234" t="s">
        <v>1213</v>
      </c>
      <c r="O234">
        <v>0</v>
      </c>
      <c r="P234" t="s">
        <v>1218</v>
      </c>
      <c r="Q234" s="2">
        <f t="shared" si="6"/>
        <v>4066.36</v>
      </c>
      <c r="T234" s="2">
        <f t="shared" si="7"/>
        <v>0.1112964366944655</v>
      </c>
    </row>
    <row r="235" spans="1:20" x14ac:dyDescent="0.25">
      <c r="A235" t="s">
        <v>249</v>
      </c>
      <c r="B235" t="s">
        <v>318</v>
      </c>
      <c r="C235" t="s">
        <v>323</v>
      </c>
      <c r="D235" t="s">
        <v>331</v>
      </c>
      <c r="E235" t="s">
        <v>334</v>
      </c>
      <c r="F235" t="s">
        <v>352</v>
      </c>
      <c r="G235" t="s">
        <v>569</v>
      </c>
      <c r="H235">
        <v>219</v>
      </c>
      <c r="I235" t="s">
        <v>852</v>
      </c>
      <c r="J235" t="s">
        <v>1147</v>
      </c>
      <c r="K235">
        <v>28.64</v>
      </c>
      <c r="L235">
        <v>74</v>
      </c>
      <c r="M235">
        <v>83</v>
      </c>
      <c r="N235" t="s">
        <v>1215</v>
      </c>
      <c r="O235">
        <v>0</v>
      </c>
      <c r="P235" t="s">
        <v>1218</v>
      </c>
      <c r="Q235" s="2">
        <f t="shared" si="6"/>
        <v>7933.28</v>
      </c>
      <c r="T235" s="2">
        <f t="shared" si="7"/>
        <v>0.13077625570776255</v>
      </c>
    </row>
    <row r="236" spans="1:20" x14ac:dyDescent="0.25">
      <c r="A236" t="s">
        <v>250</v>
      </c>
      <c r="B236" t="s">
        <v>319</v>
      </c>
      <c r="C236" t="s">
        <v>323</v>
      </c>
      <c r="D236" t="s">
        <v>328</v>
      </c>
      <c r="E236" t="s">
        <v>345</v>
      </c>
      <c r="F236" t="s">
        <v>351</v>
      </c>
      <c r="G236" t="s">
        <v>570</v>
      </c>
      <c r="H236">
        <v>24</v>
      </c>
      <c r="I236" t="s">
        <v>853</v>
      </c>
      <c r="J236" t="s">
        <v>1148</v>
      </c>
      <c r="K236">
        <v>2.91</v>
      </c>
      <c r="L236">
        <v>178</v>
      </c>
      <c r="M236">
        <v>8.1</v>
      </c>
      <c r="N236" t="s">
        <v>1216</v>
      </c>
      <c r="O236">
        <v>15</v>
      </c>
      <c r="P236" t="s">
        <v>1217</v>
      </c>
      <c r="Q236" s="2">
        <f t="shared" si="6"/>
        <v>806.07</v>
      </c>
      <c r="T236" s="2">
        <f t="shared" si="7"/>
        <v>0.12125000000000001</v>
      </c>
    </row>
    <row r="237" spans="1:20" x14ac:dyDescent="0.25">
      <c r="A237" t="s">
        <v>251</v>
      </c>
      <c r="B237" t="s">
        <v>318</v>
      </c>
      <c r="C237" t="s">
        <v>322</v>
      </c>
      <c r="D237" t="s">
        <v>331</v>
      </c>
      <c r="E237" t="s">
        <v>342</v>
      </c>
      <c r="F237" t="s">
        <v>349</v>
      </c>
      <c r="G237" t="s">
        <v>571</v>
      </c>
      <c r="H237">
        <v>183</v>
      </c>
      <c r="I237" t="s">
        <v>854</v>
      </c>
      <c r="J237" t="s">
        <v>1149</v>
      </c>
      <c r="K237">
        <v>24.79</v>
      </c>
      <c r="L237">
        <v>97</v>
      </c>
      <c r="M237">
        <v>51</v>
      </c>
      <c r="N237" t="s">
        <v>1214</v>
      </c>
      <c r="O237">
        <v>25</v>
      </c>
      <c r="P237" t="s">
        <v>1217</v>
      </c>
      <c r="Q237" s="2">
        <f t="shared" si="6"/>
        <v>6866.83</v>
      </c>
      <c r="T237" s="2">
        <f t="shared" si="7"/>
        <v>0.13546448087431692</v>
      </c>
    </row>
    <row r="238" spans="1:20" x14ac:dyDescent="0.25">
      <c r="A238" t="s">
        <v>252</v>
      </c>
      <c r="B238" t="s">
        <v>320</v>
      </c>
      <c r="C238" t="s">
        <v>323</v>
      </c>
      <c r="D238" t="s">
        <v>329</v>
      </c>
      <c r="E238" t="s">
        <v>340</v>
      </c>
      <c r="F238" t="s">
        <v>349</v>
      </c>
      <c r="G238" t="s">
        <v>459</v>
      </c>
      <c r="H238">
        <v>133.80000000000001</v>
      </c>
      <c r="I238" t="s">
        <v>855</v>
      </c>
      <c r="J238" t="s">
        <v>1150</v>
      </c>
      <c r="K238">
        <v>22.01</v>
      </c>
      <c r="L238">
        <v>181</v>
      </c>
      <c r="M238">
        <v>44.4</v>
      </c>
      <c r="N238" t="s">
        <v>1216</v>
      </c>
      <c r="O238">
        <v>0</v>
      </c>
      <c r="P238" t="s">
        <v>1218</v>
      </c>
      <c r="Q238" s="2">
        <f t="shared" si="6"/>
        <v>6096.77</v>
      </c>
      <c r="T238" s="2">
        <f t="shared" si="7"/>
        <v>0.16449925261584455</v>
      </c>
    </row>
    <row r="239" spans="1:20" x14ac:dyDescent="0.25">
      <c r="A239" t="s">
        <v>253</v>
      </c>
      <c r="B239" t="s">
        <v>321</v>
      </c>
      <c r="C239" t="s">
        <v>324</v>
      </c>
      <c r="D239" t="s">
        <v>332</v>
      </c>
      <c r="E239" t="s">
        <v>343</v>
      </c>
      <c r="F239" t="s">
        <v>354</v>
      </c>
      <c r="G239" t="s">
        <v>572</v>
      </c>
      <c r="H239">
        <v>22.1</v>
      </c>
      <c r="I239" t="s">
        <v>856</v>
      </c>
      <c r="J239" t="s">
        <v>1151</v>
      </c>
      <c r="K239">
        <v>3.25</v>
      </c>
      <c r="L239">
        <v>128</v>
      </c>
      <c r="M239">
        <v>10.4</v>
      </c>
      <c r="N239" t="s">
        <v>1214</v>
      </c>
      <c r="O239">
        <v>0</v>
      </c>
      <c r="P239" t="s">
        <v>1218</v>
      </c>
      <c r="Q239" s="2">
        <f t="shared" si="6"/>
        <v>900.25</v>
      </c>
      <c r="T239" s="2">
        <f t="shared" si="7"/>
        <v>0.14705882352941174</v>
      </c>
    </row>
    <row r="240" spans="1:20" x14ac:dyDescent="0.25">
      <c r="A240" t="s">
        <v>254</v>
      </c>
      <c r="B240" t="s">
        <v>318</v>
      </c>
      <c r="C240" t="s">
        <v>322</v>
      </c>
      <c r="D240" t="s">
        <v>330</v>
      </c>
      <c r="E240" t="s">
        <v>347</v>
      </c>
      <c r="F240" t="s">
        <v>349</v>
      </c>
      <c r="G240" t="s">
        <v>424</v>
      </c>
      <c r="H240">
        <v>163.9</v>
      </c>
      <c r="I240" t="s">
        <v>857</v>
      </c>
      <c r="J240" t="s">
        <v>1152</v>
      </c>
      <c r="K240">
        <v>19.53</v>
      </c>
      <c r="L240">
        <v>239</v>
      </c>
      <c r="M240">
        <v>41.1</v>
      </c>
      <c r="N240" t="s">
        <v>1215</v>
      </c>
      <c r="O240">
        <v>20</v>
      </c>
      <c r="P240" t="s">
        <v>1217</v>
      </c>
      <c r="Q240" s="2">
        <f t="shared" si="6"/>
        <v>5409.81</v>
      </c>
      <c r="T240" s="2">
        <f t="shared" si="7"/>
        <v>0.11915802318486883</v>
      </c>
    </row>
    <row r="241" spans="1:20" x14ac:dyDescent="0.25">
      <c r="A241" t="s">
        <v>255</v>
      </c>
      <c r="B241" t="s">
        <v>316</v>
      </c>
      <c r="C241" t="s">
        <v>323</v>
      </c>
      <c r="D241" t="s">
        <v>326</v>
      </c>
      <c r="E241" t="s">
        <v>336</v>
      </c>
      <c r="F241" t="s">
        <v>353</v>
      </c>
      <c r="G241" t="s">
        <v>573</v>
      </c>
      <c r="H241">
        <v>96.2</v>
      </c>
      <c r="I241" t="s">
        <v>858</v>
      </c>
      <c r="J241" t="s">
        <v>1153</v>
      </c>
      <c r="K241">
        <v>12.52</v>
      </c>
      <c r="L241">
        <v>46</v>
      </c>
      <c r="M241">
        <v>93</v>
      </c>
      <c r="N241" t="s">
        <v>1213</v>
      </c>
      <c r="O241">
        <v>0</v>
      </c>
      <c r="P241" t="s">
        <v>1218</v>
      </c>
      <c r="Q241" s="2">
        <f t="shared" si="6"/>
        <v>3468.04</v>
      </c>
      <c r="T241" s="2">
        <f t="shared" si="7"/>
        <v>0.13014553014553012</v>
      </c>
    </row>
    <row r="242" spans="1:20" x14ac:dyDescent="0.25">
      <c r="A242" t="s">
        <v>256</v>
      </c>
      <c r="B242" t="s">
        <v>317</v>
      </c>
      <c r="C242" t="s">
        <v>323</v>
      </c>
      <c r="D242" t="s">
        <v>327</v>
      </c>
      <c r="E242" t="s">
        <v>336</v>
      </c>
      <c r="F242" t="s">
        <v>354</v>
      </c>
      <c r="G242" t="s">
        <v>497</v>
      </c>
      <c r="H242">
        <v>226.8</v>
      </c>
      <c r="I242" t="s">
        <v>859</v>
      </c>
      <c r="J242" t="s">
        <v>1154</v>
      </c>
      <c r="K242">
        <v>32.97</v>
      </c>
      <c r="L242">
        <v>193</v>
      </c>
      <c r="M242">
        <v>70.5</v>
      </c>
      <c r="N242" t="s">
        <v>1215</v>
      </c>
      <c r="O242">
        <v>0</v>
      </c>
      <c r="P242" t="s">
        <v>1218</v>
      </c>
      <c r="Q242" s="2">
        <f t="shared" si="6"/>
        <v>9132.69</v>
      </c>
      <c r="T242" s="2">
        <f t="shared" si="7"/>
        <v>0.14537037037037034</v>
      </c>
    </row>
    <row r="243" spans="1:20" x14ac:dyDescent="0.25">
      <c r="A243" t="s">
        <v>257</v>
      </c>
      <c r="B243" t="s">
        <v>318</v>
      </c>
      <c r="C243" t="s">
        <v>324</v>
      </c>
      <c r="D243" t="s">
        <v>331</v>
      </c>
      <c r="E243" t="s">
        <v>338</v>
      </c>
      <c r="F243" t="s">
        <v>350</v>
      </c>
      <c r="G243" t="s">
        <v>574</v>
      </c>
      <c r="H243">
        <v>134.6</v>
      </c>
      <c r="I243" t="s">
        <v>860</v>
      </c>
      <c r="J243" t="s">
        <v>1155</v>
      </c>
      <c r="K243">
        <v>16.88</v>
      </c>
      <c r="L243">
        <v>115</v>
      </c>
      <c r="M243">
        <v>70.2</v>
      </c>
      <c r="N243" t="s">
        <v>1215</v>
      </c>
      <c r="O243">
        <v>0</v>
      </c>
      <c r="P243" t="s">
        <v>1218</v>
      </c>
      <c r="Q243" s="2">
        <f t="shared" si="6"/>
        <v>4675.7599999999993</v>
      </c>
      <c r="T243" s="2">
        <f t="shared" si="7"/>
        <v>0.12540861812778603</v>
      </c>
    </row>
    <row r="244" spans="1:20" x14ac:dyDescent="0.25">
      <c r="A244" t="s">
        <v>258</v>
      </c>
      <c r="B244" t="s">
        <v>316</v>
      </c>
      <c r="C244" t="s">
        <v>324</v>
      </c>
      <c r="D244" t="s">
        <v>331</v>
      </c>
      <c r="E244" t="s">
        <v>333</v>
      </c>
      <c r="F244" t="s">
        <v>353</v>
      </c>
      <c r="G244" t="s">
        <v>558</v>
      </c>
      <c r="H244">
        <v>16.600000000000001</v>
      </c>
      <c r="I244" t="s">
        <v>861</v>
      </c>
      <c r="J244" t="s">
        <v>1156</v>
      </c>
      <c r="K244">
        <v>2.39</v>
      </c>
      <c r="L244">
        <v>203</v>
      </c>
      <c r="M244">
        <v>4.9000000000000004</v>
      </c>
      <c r="N244" t="s">
        <v>1215</v>
      </c>
      <c r="O244">
        <v>20</v>
      </c>
      <c r="P244" t="s">
        <v>1217</v>
      </c>
      <c r="Q244" s="2">
        <f t="shared" si="6"/>
        <v>662.03000000000009</v>
      </c>
      <c r="T244" s="2">
        <f t="shared" si="7"/>
        <v>0.14397590361445783</v>
      </c>
    </row>
    <row r="245" spans="1:20" x14ac:dyDescent="0.25">
      <c r="A245" t="s">
        <v>259</v>
      </c>
      <c r="B245" t="s">
        <v>320</v>
      </c>
      <c r="C245" t="s">
        <v>325</v>
      </c>
      <c r="D245" t="s">
        <v>332</v>
      </c>
      <c r="E245" t="s">
        <v>346</v>
      </c>
      <c r="F245" t="s">
        <v>350</v>
      </c>
      <c r="G245" t="s">
        <v>575</v>
      </c>
      <c r="H245">
        <v>142.9</v>
      </c>
      <c r="I245" t="s">
        <v>862</v>
      </c>
      <c r="J245" t="s">
        <v>1157</v>
      </c>
      <c r="K245">
        <v>18.93</v>
      </c>
      <c r="L245">
        <v>123</v>
      </c>
      <c r="M245">
        <v>69.7</v>
      </c>
      <c r="N245" t="s">
        <v>1213</v>
      </c>
      <c r="O245">
        <v>5</v>
      </c>
      <c r="P245" t="s">
        <v>1217</v>
      </c>
      <c r="Q245" s="2">
        <f t="shared" si="6"/>
        <v>5243.61</v>
      </c>
      <c r="T245" s="2">
        <f t="shared" si="7"/>
        <v>0.13247025892232331</v>
      </c>
    </row>
    <row r="246" spans="1:20" x14ac:dyDescent="0.25">
      <c r="A246" t="s">
        <v>260</v>
      </c>
      <c r="B246" t="s">
        <v>321</v>
      </c>
      <c r="C246" t="s">
        <v>325</v>
      </c>
      <c r="D246" t="s">
        <v>326</v>
      </c>
      <c r="E246" t="s">
        <v>347</v>
      </c>
      <c r="F246" t="s">
        <v>348</v>
      </c>
      <c r="G246" t="s">
        <v>576</v>
      </c>
      <c r="H246">
        <v>184.6</v>
      </c>
      <c r="I246" t="s">
        <v>863</v>
      </c>
      <c r="J246" t="s">
        <v>1158</v>
      </c>
      <c r="K246">
        <v>25.36</v>
      </c>
      <c r="L246">
        <v>181</v>
      </c>
      <c r="M246">
        <v>61.2</v>
      </c>
      <c r="N246" t="s">
        <v>1214</v>
      </c>
      <c r="O246">
        <v>0</v>
      </c>
      <c r="P246" t="s">
        <v>1218</v>
      </c>
      <c r="Q246" s="2">
        <f t="shared" si="6"/>
        <v>7024.72</v>
      </c>
      <c r="T246" s="2">
        <f t="shared" si="7"/>
        <v>0.13737811484290358</v>
      </c>
    </row>
    <row r="247" spans="1:20" x14ac:dyDescent="0.25">
      <c r="A247" t="s">
        <v>261</v>
      </c>
      <c r="B247" t="s">
        <v>321</v>
      </c>
      <c r="C247" t="s">
        <v>322</v>
      </c>
      <c r="D247" t="s">
        <v>329</v>
      </c>
      <c r="E247" t="s">
        <v>339</v>
      </c>
      <c r="F247" t="s">
        <v>351</v>
      </c>
      <c r="G247" t="s">
        <v>577</v>
      </c>
      <c r="H247">
        <v>52.9</v>
      </c>
      <c r="I247" t="s">
        <v>864</v>
      </c>
      <c r="J247" t="s">
        <v>1159</v>
      </c>
      <c r="K247">
        <v>8.61</v>
      </c>
      <c r="L247">
        <v>128</v>
      </c>
      <c r="M247">
        <v>24.8</v>
      </c>
      <c r="N247" t="s">
        <v>1215</v>
      </c>
      <c r="O247">
        <v>20</v>
      </c>
      <c r="P247" t="s">
        <v>1217</v>
      </c>
      <c r="Q247" s="2">
        <f t="shared" si="6"/>
        <v>2384.9699999999998</v>
      </c>
      <c r="T247" s="2">
        <f t="shared" si="7"/>
        <v>0.16275992438563328</v>
      </c>
    </row>
    <row r="248" spans="1:20" x14ac:dyDescent="0.25">
      <c r="A248" t="s">
        <v>262</v>
      </c>
      <c r="B248" t="s">
        <v>319</v>
      </c>
      <c r="C248" t="s">
        <v>323</v>
      </c>
      <c r="D248" t="s">
        <v>331</v>
      </c>
      <c r="E248" t="s">
        <v>339</v>
      </c>
      <c r="F248" t="s">
        <v>352</v>
      </c>
      <c r="G248" t="s">
        <v>578</v>
      </c>
      <c r="H248">
        <v>77.5</v>
      </c>
      <c r="I248" t="s">
        <v>865</v>
      </c>
      <c r="J248" t="s">
        <v>1160</v>
      </c>
      <c r="K248">
        <v>10.51</v>
      </c>
      <c r="L248">
        <v>58</v>
      </c>
      <c r="M248">
        <v>80.2</v>
      </c>
      <c r="N248" t="s">
        <v>1215</v>
      </c>
      <c r="O248">
        <v>25</v>
      </c>
      <c r="P248" t="s">
        <v>1217</v>
      </c>
      <c r="Q248" s="2">
        <f t="shared" si="6"/>
        <v>2911.27</v>
      </c>
      <c r="T248" s="2">
        <f t="shared" si="7"/>
        <v>0.13561290322580644</v>
      </c>
    </row>
    <row r="249" spans="1:20" x14ac:dyDescent="0.25">
      <c r="A249" t="s">
        <v>263</v>
      </c>
      <c r="B249" t="s">
        <v>318</v>
      </c>
      <c r="C249" t="s">
        <v>325</v>
      </c>
      <c r="D249" t="s">
        <v>327</v>
      </c>
      <c r="E249" t="s">
        <v>342</v>
      </c>
      <c r="F249" t="s">
        <v>353</v>
      </c>
      <c r="G249" t="s">
        <v>579</v>
      </c>
      <c r="H249">
        <v>179.3</v>
      </c>
      <c r="I249" t="s">
        <v>866</v>
      </c>
      <c r="J249" t="s">
        <v>1161</v>
      </c>
      <c r="K249">
        <v>21.45</v>
      </c>
      <c r="L249">
        <v>97</v>
      </c>
      <c r="M249">
        <v>74</v>
      </c>
      <c r="N249" t="s">
        <v>1216</v>
      </c>
      <c r="O249">
        <v>0</v>
      </c>
      <c r="P249" t="s">
        <v>1218</v>
      </c>
      <c r="Q249" s="2">
        <f t="shared" si="6"/>
        <v>5941.65</v>
      </c>
      <c r="T249" s="2">
        <f t="shared" si="7"/>
        <v>0.11963190184049079</v>
      </c>
    </row>
    <row r="250" spans="1:20" x14ac:dyDescent="0.25">
      <c r="A250" t="s">
        <v>264</v>
      </c>
      <c r="B250" t="s">
        <v>317</v>
      </c>
      <c r="C250" t="s">
        <v>324</v>
      </c>
      <c r="D250" t="s">
        <v>331</v>
      </c>
      <c r="E250" t="s">
        <v>333</v>
      </c>
      <c r="F250" t="s">
        <v>348</v>
      </c>
      <c r="G250" t="s">
        <v>580</v>
      </c>
      <c r="H250">
        <v>78.2</v>
      </c>
      <c r="I250" t="s">
        <v>867</v>
      </c>
      <c r="J250" t="s">
        <v>1162</v>
      </c>
      <c r="K250">
        <v>12.38</v>
      </c>
      <c r="L250">
        <v>232</v>
      </c>
      <c r="M250">
        <v>20.2</v>
      </c>
      <c r="N250" t="s">
        <v>1214</v>
      </c>
      <c r="O250">
        <v>0</v>
      </c>
      <c r="P250" t="s">
        <v>1218</v>
      </c>
      <c r="Q250" s="2">
        <f t="shared" si="6"/>
        <v>3429.26</v>
      </c>
      <c r="T250" s="2">
        <f t="shared" si="7"/>
        <v>0.15831202046035805</v>
      </c>
    </row>
    <row r="251" spans="1:20" x14ac:dyDescent="0.25">
      <c r="A251" t="s">
        <v>265</v>
      </c>
      <c r="B251" t="s">
        <v>317</v>
      </c>
      <c r="C251" t="s">
        <v>323</v>
      </c>
      <c r="D251" t="s">
        <v>326</v>
      </c>
      <c r="E251" t="s">
        <v>339</v>
      </c>
      <c r="F251" t="s">
        <v>349</v>
      </c>
      <c r="G251" t="s">
        <v>581</v>
      </c>
      <c r="H251">
        <v>57.1</v>
      </c>
      <c r="I251" t="s">
        <v>868</v>
      </c>
      <c r="J251" t="s">
        <v>1163</v>
      </c>
      <c r="K251">
        <v>8.2899999999999991</v>
      </c>
      <c r="L251">
        <v>174</v>
      </c>
      <c r="M251">
        <v>19.7</v>
      </c>
      <c r="N251" t="s">
        <v>1214</v>
      </c>
      <c r="O251">
        <v>10</v>
      </c>
      <c r="P251" t="s">
        <v>1217</v>
      </c>
      <c r="Q251" s="2">
        <f t="shared" si="6"/>
        <v>2296.33</v>
      </c>
      <c r="T251" s="2">
        <f t="shared" si="7"/>
        <v>0.14518388791593692</v>
      </c>
    </row>
    <row r="252" spans="1:20" x14ac:dyDescent="0.25">
      <c r="A252" t="s">
        <v>266</v>
      </c>
      <c r="B252" t="s">
        <v>319</v>
      </c>
      <c r="C252" t="s">
        <v>324</v>
      </c>
      <c r="D252" t="s">
        <v>330</v>
      </c>
      <c r="E252" t="s">
        <v>347</v>
      </c>
      <c r="F252" t="s">
        <v>352</v>
      </c>
      <c r="G252" t="s">
        <v>419</v>
      </c>
      <c r="H252">
        <v>166.9</v>
      </c>
      <c r="I252" t="s">
        <v>869</v>
      </c>
      <c r="J252" t="s">
        <v>1164</v>
      </c>
      <c r="K252">
        <v>19.57</v>
      </c>
      <c r="L252">
        <v>166</v>
      </c>
      <c r="M252">
        <v>60.3</v>
      </c>
      <c r="N252" t="s">
        <v>1215</v>
      </c>
      <c r="O252">
        <v>25</v>
      </c>
      <c r="P252" t="s">
        <v>1217</v>
      </c>
      <c r="Q252" s="2">
        <f t="shared" si="6"/>
        <v>5420.89</v>
      </c>
      <c r="T252" s="2">
        <f t="shared" si="7"/>
        <v>0.11725584182144996</v>
      </c>
    </row>
    <row r="253" spans="1:20" x14ac:dyDescent="0.25">
      <c r="A253" t="s">
        <v>267</v>
      </c>
      <c r="B253" t="s">
        <v>319</v>
      </c>
      <c r="C253" t="s">
        <v>322</v>
      </c>
      <c r="D253" t="s">
        <v>328</v>
      </c>
      <c r="E253" t="s">
        <v>341</v>
      </c>
      <c r="F253" t="s">
        <v>353</v>
      </c>
      <c r="G253" t="s">
        <v>421</v>
      </c>
      <c r="H253">
        <v>194.6</v>
      </c>
      <c r="I253" t="s">
        <v>870</v>
      </c>
      <c r="J253" t="s">
        <v>1165</v>
      </c>
      <c r="K253">
        <v>27.03</v>
      </c>
      <c r="L253">
        <v>195</v>
      </c>
      <c r="M253">
        <v>59.9</v>
      </c>
      <c r="N253" t="s">
        <v>1213</v>
      </c>
      <c r="O253">
        <v>25</v>
      </c>
      <c r="P253" t="s">
        <v>1217</v>
      </c>
      <c r="Q253" s="2">
        <f t="shared" si="6"/>
        <v>7487.31</v>
      </c>
      <c r="T253" s="2">
        <f t="shared" si="7"/>
        <v>0.13890030832476877</v>
      </c>
    </row>
    <row r="254" spans="1:20" x14ac:dyDescent="0.25">
      <c r="A254" t="s">
        <v>268</v>
      </c>
      <c r="B254" t="s">
        <v>318</v>
      </c>
      <c r="C254" t="s">
        <v>325</v>
      </c>
      <c r="D254" t="s">
        <v>331</v>
      </c>
      <c r="E254" t="s">
        <v>341</v>
      </c>
      <c r="F254" t="s">
        <v>353</v>
      </c>
      <c r="G254" t="s">
        <v>582</v>
      </c>
      <c r="H254">
        <v>122.9</v>
      </c>
      <c r="I254" t="s">
        <v>871</v>
      </c>
      <c r="J254" t="s">
        <v>1166</v>
      </c>
      <c r="K254">
        <v>18.07</v>
      </c>
      <c r="L254">
        <v>210</v>
      </c>
      <c r="M254">
        <v>35.1</v>
      </c>
      <c r="N254" t="s">
        <v>1213</v>
      </c>
      <c r="O254">
        <v>10</v>
      </c>
      <c r="P254" t="s">
        <v>1217</v>
      </c>
      <c r="Q254" s="2">
        <f t="shared" si="6"/>
        <v>5005.3900000000003</v>
      </c>
      <c r="T254" s="2">
        <f t="shared" si="7"/>
        <v>0.1470301057770545</v>
      </c>
    </row>
    <row r="255" spans="1:20" x14ac:dyDescent="0.25">
      <c r="A255" t="s">
        <v>269</v>
      </c>
      <c r="B255" t="s">
        <v>318</v>
      </c>
      <c r="C255" t="s">
        <v>324</v>
      </c>
      <c r="D255" t="s">
        <v>332</v>
      </c>
      <c r="E255" t="s">
        <v>338</v>
      </c>
      <c r="F255" t="s">
        <v>349</v>
      </c>
      <c r="G255" t="s">
        <v>583</v>
      </c>
      <c r="H255">
        <v>99.1</v>
      </c>
      <c r="I255" t="s">
        <v>872</v>
      </c>
      <c r="J255" t="s">
        <v>1167</v>
      </c>
      <c r="K255">
        <v>12.96</v>
      </c>
      <c r="L255">
        <v>82</v>
      </c>
      <c r="M255">
        <v>72.5</v>
      </c>
      <c r="N255" t="s">
        <v>1213</v>
      </c>
      <c r="O255">
        <v>5</v>
      </c>
      <c r="P255" t="s">
        <v>1217</v>
      </c>
      <c r="Q255" s="2">
        <f t="shared" si="6"/>
        <v>3589.92</v>
      </c>
      <c r="T255" s="2">
        <f t="shared" si="7"/>
        <v>0.13077699293642786</v>
      </c>
    </row>
    <row r="256" spans="1:20" x14ac:dyDescent="0.25">
      <c r="A256" t="s">
        <v>270</v>
      </c>
      <c r="B256" t="s">
        <v>318</v>
      </c>
      <c r="C256" t="s">
        <v>322</v>
      </c>
      <c r="D256" t="s">
        <v>329</v>
      </c>
      <c r="E256" t="s">
        <v>334</v>
      </c>
      <c r="F256" t="s">
        <v>351</v>
      </c>
      <c r="G256" t="s">
        <v>584</v>
      </c>
      <c r="H256">
        <v>187.8</v>
      </c>
      <c r="I256" t="s">
        <v>873</v>
      </c>
      <c r="J256" t="s">
        <v>1168</v>
      </c>
      <c r="K256">
        <v>21.81</v>
      </c>
      <c r="L256">
        <v>45</v>
      </c>
      <c r="M256">
        <v>54</v>
      </c>
      <c r="N256" t="s">
        <v>1213</v>
      </c>
      <c r="O256">
        <v>0</v>
      </c>
      <c r="P256" t="s">
        <v>1218</v>
      </c>
      <c r="Q256" s="2">
        <f t="shared" si="6"/>
        <v>6041.37</v>
      </c>
      <c r="T256" s="2">
        <f t="shared" si="7"/>
        <v>0.11613418530351437</v>
      </c>
    </row>
    <row r="257" spans="1:20" x14ac:dyDescent="0.25">
      <c r="A257" t="s">
        <v>271</v>
      </c>
      <c r="B257" t="s">
        <v>318</v>
      </c>
      <c r="C257" t="s">
        <v>323</v>
      </c>
      <c r="D257" t="s">
        <v>330</v>
      </c>
      <c r="E257" t="s">
        <v>345</v>
      </c>
      <c r="F257" t="s">
        <v>348</v>
      </c>
      <c r="G257" t="s">
        <v>585</v>
      </c>
      <c r="H257">
        <v>40.200000000000003</v>
      </c>
      <c r="I257" t="s">
        <v>874</v>
      </c>
      <c r="J257" t="s">
        <v>1169</v>
      </c>
      <c r="K257">
        <v>6.54</v>
      </c>
      <c r="L257">
        <v>140</v>
      </c>
      <c r="M257">
        <v>17.2</v>
      </c>
      <c r="N257" t="s">
        <v>1216</v>
      </c>
      <c r="O257">
        <v>10</v>
      </c>
      <c r="P257" t="s">
        <v>1217</v>
      </c>
      <c r="Q257" s="2">
        <f t="shared" si="6"/>
        <v>1811.58</v>
      </c>
      <c r="T257" s="2">
        <f t="shared" si="7"/>
        <v>0.16268656716417909</v>
      </c>
    </row>
    <row r="258" spans="1:20" x14ac:dyDescent="0.25">
      <c r="A258" t="s">
        <v>272</v>
      </c>
      <c r="B258" t="s">
        <v>320</v>
      </c>
      <c r="C258" t="s">
        <v>322</v>
      </c>
      <c r="D258" t="s">
        <v>332</v>
      </c>
      <c r="E258" t="s">
        <v>338</v>
      </c>
      <c r="F258" t="s">
        <v>351</v>
      </c>
      <c r="G258" t="s">
        <v>586</v>
      </c>
      <c r="H258">
        <v>143.1</v>
      </c>
      <c r="I258" t="s">
        <v>875</v>
      </c>
      <c r="J258" t="s">
        <v>1170</v>
      </c>
      <c r="K258">
        <v>18.18</v>
      </c>
      <c r="L258">
        <v>75</v>
      </c>
      <c r="M258">
        <v>92</v>
      </c>
      <c r="N258" t="s">
        <v>1213</v>
      </c>
      <c r="O258">
        <v>0</v>
      </c>
      <c r="P258" t="s">
        <v>1218</v>
      </c>
      <c r="Q258" s="2">
        <f t="shared" si="6"/>
        <v>5035.8599999999997</v>
      </c>
      <c r="T258" s="2">
        <f t="shared" si="7"/>
        <v>0.1270440251572327</v>
      </c>
    </row>
    <row r="259" spans="1:20" x14ac:dyDescent="0.25">
      <c r="A259" t="s">
        <v>273</v>
      </c>
      <c r="B259" t="s">
        <v>318</v>
      </c>
      <c r="C259" t="s">
        <v>325</v>
      </c>
      <c r="D259" t="s">
        <v>330</v>
      </c>
      <c r="E259" t="s">
        <v>336</v>
      </c>
      <c r="F259" t="s">
        <v>352</v>
      </c>
      <c r="G259" t="s">
        <v>381</v>
      </c>
      <c r="H259">
        <v>31.9</v>
      </c>
      <c r="I259" t="s">
        <v>876</v>
      </c>
      <c r="J259" t="s">
        <v>1171</v>
      </c>
      <c r="K259">
        <v>3.67</v>
      </c>
      <c r="L259">
        <v>159</v>
      </c>
      <c r="M259">
        <v>12</v>
      </c>
      <c r="N259" t="s">
        <v>1214</v>
      </c>
      <c r="O259">
        <v>10</v>
      </c>
      <c r="P259" t="s">
        <v>1217</v>
      </c>
      <c r="Q259" s="2">
        <f t="shared" ref="Q259:Q301" si="8">K259*277</f>
        <v>1016.59</v>
      </c>
      <c r="T259" s="2">
        <f t="shared" ref="T259:T301" si="9">K259/H259</f>
        <v>0.11504702194357368</v>
      </c>
    </row>
    <row r="260" spans="1:20" x14ac:dyDescent="0.25">
      <c r="A260" t="s">
        <v>274</v>
      </c>
      <c r="B260" t="s">
        <v>320</v>
      </c>
      <c r="C260" t="s">
        <v>322</v>
      </c>
      <c r="D260" t="s">
        <v>331</v>
      </c>
      <c r="E260" t="s">
        <v>342</v>
      </c>
      <c r="F260" t="s">
        <v>354</v>
      </c>
      <c r="G260" t="s">
        <v>587</v>
      </c>
      <c r="H260">
        <v>19.100000000000001</v>
      </c>
      <c r="I260" t="s">
        <v>877</v>
      </c>
      <c r="J260" t="s">
        <v>1172</v>
      </c>
      <c r="K260">
        <v>2.75</v>
      </c>
      <c r="L260">
        <v>147</v>
      </c>
      <c r="M260">
        <v>7.8</v>
      </c>
      <c r="N260" t="s">
        <v>1213</v>
      </c>
      <c r="O260">
        <v>10</v>
      </c>
      <c r="P260" t="s">
        <v>1217</v>
      </c>
      <c r="Q260" s="2">
        <f t="shared" si="8"/>
        <v>761.75</v>
      </c>
      <c r="T260" s="2">
        <f t="shared" si="9"/>
        <v>0.14397905759162302</v>
      </c>
    </row>
    <row r="261" spans="1:20" x14ac:dyDescent="0.25">
      <c r="A261" t="s">
        <v>275</v>
      </c>
      <c r="B261" t="s">
        <v>320</v>
      </c>
      <c r="C261" t="s">
        <v>324</v>
      </c>
      <c r="D261" t="s">
        <v>328</v>
      </c>
      <c r="E261" t="s">
        <v>343</v>
      </c>
      <c r="F261" t="s">
        <v>348</v>
      </c>
      <c r="G261" t="s">
        <v>588</v>
      </c>
      <c r="H261">
        <v>85.8</v>
      </c>
      <c r="I261" t="s">
        <v>878</v>
      </c>
      <c r="J261" t="s">
        <v>1173</v>
      </c>
      <c r="K261">
        <v>12.55</v>
      </c>
      <c r="L261">
        <v>217</v>
      </c>
      <c r="M261">
        <v>23.7</v>
      </c>
      <c r="N261" t="s">
        <v>1213</v>
      </c>
      <c r="O261">
        <v>15</v>
      </c>
      <c r="P261" t="s">
        <v>1217</v>
      </c>
      <c r="Q261" s="2">
        <f t="shared" si="8"/>
        <v>3476.3500000000004</v>
      </c>
      <c r="T261" s="2">
        <f t="shared" si="9"/>
        <v>0.14627039627039629</v>
      </c>
    </row>
    <row r="262" spans="1:20" x14ac:dyDescent="0.25">
      <c r="A262" t="s">
        <v>276</v>
      </c>
      <c r="B262" t="s">
        <v>317</v>
      </c>
      <c r="C262" t="s">
        <v>324</v>
      </c>
      <c r="D262" t="s">
        <v>327</v>
      </c>
      <c r="E262" t="s">
        <v>345</v>
      </c>
      <c r="F262" t="s">
        <v>352</v>
      </c>
      <c r="G262" t="s">
        <v>589</v>
      </c>
      <c r="H262">
        <v>170.5</v>
      </c>
      <c r="I262" t="s">
        <v>879</v>
      </c>
      <c r="J262" t="s">
        <v>1174</v>
      </c>
      <c r="K262">
        <v>28.04</v>
      </c>
      <c r="L262">
        <v>92</v>
      </c>
      <c r="M262">
        <v>85</v>
      </c>
      <c r="N262" t="s">
        <v>1216</v>
      </c>
      <c r="O262">
        <v>10</v>
      </c>
      <c r="P262" t="s">
        <v>1217</v>
      </c>
      <c r="Q262" s="2">
        <f t="shared" si="8"/>
        <v>7767.08</v>
      </c>
      <c r="T262" s="2">
        <f t="shared" si="9"/>
        <v>0.1644574780058651</v>
      </c>
    </row>
    <row r="263" spans="1:20" x14ac:dyDescent="0.25">
      <c r="A263" t="s">
        <v>277</v>
      </c>
      <c r="B263" t="s">
        <v>321</v>
      </c>
      <c r="C263" t="s">
        <v>323</v>
      </c>
      <c r="D263" t="s">
        <v>326</v>
      </c>
      <c r="E263" t="s">
        <v>337</v>
      </c>
      <c r="F263" t="s">
        <v>350</v>
      </c>
      <c r="G263" t="s">
        <v>590</v>
      </c>
      <c r="H263">
        <v>148.19999999999999</v>
      </c>
      <c r="I263" t="s">
        <v>880</v>
      </c>
      <c r="J263" t="s">
        <v>1175</v>
      </c>
      <c r="K263">
        <v>21.4</v>
      </c>
      <c r="L263">
        <v>93</v>
      </c>
      <c r="M263">
        <v>95.6</v>
      </c>
      <c r="N263" t="s">
        <v>1213</v>
      </c>
      <c r="O263">
        <v>20</v>
      </c>
      <c r="P263" t="s">
        <v>1217</v>
      </c>
      <c r="Q263" s="2">
        <f t="shared" si="8"/>
        <v>5927.7999999999993</v>
      </c>
      <c r="T263" s="2">
        <f t="shared" si="9"/>
        <v>0.14439946018893388</v>
      </c>
    </row>
    <row r="264" spans="1:20" x14ac:dyDescent="0.25">
      <c r="A264" t="s">
        <v>278</v>
      </c>
      <c r="B264" t="s">
        <v>320</v>
      </c>
      <c r="C264" t="s">
        <v>323</v>
      </c>
      <c r="D264" t="s">
        <v>326</v>
      </c>
      <c r="E264" t="s">
        <v>338</v>
      </c>
      <c r="F264" t="s">
        <v>349</v>
      </c>
      <c r="G264" t="s">
        <v>591</v>
      </c>
      <c r="H264">
        <v>48.8</v>
      </c>
      <c r="I264" t="s">
        <v>881</v>
      </c>
      <c r="J264" t="s">
        <v>1176</v>
      </c>
      <c r="K264">
        <v>5.59</v>
      </c>
      <c r="L264">
        <v>211</v>
      </c>
      <c r="M264">
        <v>13.9</v>
      </c>
      <c r="N264" t="s">
        <v>1215</v>
      </c>
      <c r="O264">
        <v>20</v>
      </c>
      <c r="P264" t="s">
        <v>1217</v>
      </c>
      <c r="Q264" s="2">
        <f t="shared" si="8"/>
        <v>1548.43</v>
      </c>
      <c r="T264" s="2">
        <f t="shared" si="9"/>
        <v>0.11454918032786886</v>
      </c>
    </row>
    <row r="265" spans="1:20" x14ac:dyDescent="0.25">
      <c r="A265" t="s">
        <v>279</v>
      </c>
      <c r="B265" t="s">
        <v>319</v>
      </c>
      <c r="C265" t="s">
        <v>325</v>
      </c>
      <c r="D265" t="s">
        <v>330</v>
      </c>
      <c r="E265" t="s">
        <v>342</v>
      </c>
      <c r="F265" t="s">
        <v>352</v>
      </c>
      <c r="G265" t="s">
        <v>592</v>
      </c>
      <c r="H265">
        <v>109.7</v>
      </c>
      <c r="I265" t="s">
        <v>882</v>
      </c>
      <c r="J265" t="s">
        <v>1058</v>
      </c>
      <c r="K265">
        <v>15.01</v>
      </c>
      <c r="L265">
        <v>92</v>
      </c>
      <c r="M265">
        <v>71.5</v>
      </c>
      <c r="N265" t="s">
        <v>1215</v>
      </c>
      <c r="O265">
        <v>25</v>
      </c>
      <c r="P265" t="s">
        <v>1217</v>
      </c>
      <c r="Q265" s="2">
        <f t="shared" si="8"/>
        <v>4157.7699999999995</v>
      </c>
      <c r="T265" s="2">
        <f t="shared" si="9"/>
        <v>0.13682771194165907</v>
      </c>
    </row>
    <row r="266" spans="1:20" x14ac:dyDescent="0.25">
      <c r="A266" t="s">
        <v>280</v>
      </c>
      <c r="B266" t="s">
        <v>320</v>
      </c>
      <c r="C266" t="s">
        <v>324</v>
      </c>
      <c r="D266" t="s">
        <v>327</v>
      </c>
      <c r="E266" t="s">
        <v>333</v>
      </c>
      <c r="F266" t="s">
        <v>354</v>
      </c>
      <c r="G266" t="s">
        <v>593</v>
      </c>
      <c r="H266">
        <v>227.8</v>
      </c>
      <c r="I266" t="s">
        <v>883</v>
      </c>
      <c r="J266" t="s">
        <v>1177</v>
      </c>
      <c r="K266">
        <v>28.27</v>
      </c>
      <c r="L266">
        <v>80</v>
      </c>
      <c r="M266">
        <v>98</v>
      </c>
      <c r="N266" t="s">
        <v>1216</v>
      </c>
      <c r="O266">
        <v>0</v>
      </c>
      <c r="P266" t="s">
        <v>1218</v>
      </c>
      <c r="Q266" s="2">
        <f t="shared" si="8"/>
        <v>7830.79</v>
      </c>
      <c r="T266" s="2">
        <f t="shared" si="9"/>
        <v>0.12410008779631254</v>
      </c>
    </row>
    <row r="267" spans="1:20" x14ac:dyDescent="0.25">
      <c r="A267" t="s">
        <v>281</v>
      </c>
      <c r="B267" t="s">
        <v>316</v>
      </c>
      <c r="C267" t="s">
        <v>323</v>
      </c>
      <c r="D267" t="s">
        <v>331</v>
      </c>
      <c r="E267" t="s">
        <v>343</v>
      </c>
      <c r="F267" t="s">
        <v>350</v>
      </c>
      <c r="G267" t="s">
        <v>436</v>
      </c>
      <c r="H267">
        <v>42.9</v>
      </c>
      <c r="I267" t="s">
        <v>884</v>
      </c>
      <c r="J267" t="s">
        <v>1178</v>
      </c>
      <c r="K267">
        <v>6.49</v>
      </c>
      <c r="L267">
        <v>200</v>
      </c>
      <c r="M267">
        <v>12.9</v>
      </c>
      <c r="N267" t="s">
        <v>1216</v>
      </c>
      <c r="O267">
        <v>0</v>
      </c>
      <c r="P267" t="s">
        <v>1218</v>
      </c>
      <c r="Q267" s="2">
        <f t="shared" si="8"/>
        <v>1797.73</v>
      </c>
      <c r="T267" s="2">
        <f t="shared" si="9"/>
        <v>0.1512820512820513</v>
      </c>
    </row>
    <row r="268" spans="1:20" x14ac:dyDescent="0.25">
      <c r="A268" t="s">
        <v>282</v>
      </c>
      <c r="B268" t="s">
        <v>320</v>
      </c>
      <c r="C268" t="s">
        <v>323</v>
      </c>
      <c r="D268" t="s">
        <v>329</v>
      </c>
      <c r="E268" t="s">
        <v>345</v>
      </c>
      <c r="F268" t="s">
        <v>350</v>
      </c>
      <c r="G268" t="s">
        <v>444</v>
      </c>
      <c r="H268">
        <v>137.80000000000001</v>
      </c>
      <c r="I268" t="s">
        <v>885</v>
      </c>
      <c r="J268" t="s">
        <v>1179</v>
      </c>
      <c r="K268">
        <v>19.079999999999998</v>
      </c>
      <c r="L268">
        <v>130</v>
      </c>
      <c r="M268">
        <v>63.6</v>
      </c>
      <c r="N268" t="s">
        <v>1214</v>
      </c>
      <c r="O268">
        <v>15</v>
      </c>
      <c r="P268" t="s">
        <v>1217</v>
      </c>
      <c r="Q268" s="2">
        <f t="shared" si="8"/>
        <v>5285.16</v>
      </c>
      <c r="T268" s="2">
        <f t="shared" si="9"/>
        <v>0.13846153846153844</v>
      </c>
    </row>
    <row r="269" spans="1:20" x14ac:dyDescent="0.25">
      <c r="A269" t="s">
        <v>283</v>
      </c>
      <c r="B269" t="s">
        <v>320</v>
      </c>
      <c r="C269" t="s">
        <v>325</v>
      </c>
      <c r="D269" t="s">
        <v>330</v>
      </c>
      <c r="E269" t="s">
        <v>347</v>
      </c>
      <c r="F269" t="s">
        <v>351</v>
      </c>
      <c r="G269" t="s">
        <v>594</v>
      </c>
      <c r="H269">
        <v>42.5</v>
      </c>
      <c r="I269" t="s">
        <v>886</v>
      </c>
      <c r="J269" t="s">
        <v>1180</v>
      </c>
      <c r="K269">
        <v>4.93</v>
      </c>
      <c r="L269">
        <v>200</v>
      </c>
      <c r="M269">
        <v>12.8</v>
      </c>
      <c r="N269" t="s">
        <v>1213</v>
      </c>
      <c r="O269">
        <v>5</v>
      </c>
      <c r="P269" t="s">
        <v>1217</v>
      </c>
      <c r="Q269" s="2">
        <f t="shared" si="8"/>
        <v>1365.61</v>
      </c>
      <c r="T269" s="2">
        <f t="shared" si="9"/>
        <v>0.11599999999999999</v>
      </c>
    </row>
    <row r="270" spans="1:20" x14ac:dyDescent="0.25">
      <c r="A270" t="s">
        <v>284</v>
      </c>
      <c r="B270" t="s">
        <v>319</v>
      </c>
      <c r="C270" t="s">
        <v>325</v>
      </c>
      <c r="D270" t="s">
        <v>331</v>
      </c>
      <c r="E270" t="s">
        <v>338</v>
      </c>
      <c r="F270" t="s">
        <v>354</v>
      </c>
      <c r="G270" t="s">
        <v>595</v>
      </c>
      <c r="H270">
        <v>224</v>
      </c>
      <c r="I270" t="s">
        <v>887</v>
      </c>
      <c r="J270" t="s">
        <v>1181</v>
      </c>
      <c r="K270">
        <v>31.21</v>
      </c>
      <c r="L270">
        <v>87</v>
      </c>
      <c r="M270">
        <v>88</v>
      </c>
      <c r="N270" t="s">
        <v>1215</v>
      </c>
      <c r="O270">
        <v>25</v>
      </c>
      <c r="P270" t="s">
        <v>1217</v>
      </c>
      <c r="Q270" s="2">
        <f t="shared" si="8"/>
        <v>8645.17</v>
      </c>
      <c r="T270" s="2">
        <f t="shared" si="9"/>
        <v>0.13933035714285716</v>
      </c>
    </row>
    <row r="271" spans="1:20" x14ac:dyDescent="0.25">
      <c r="A271" t="s">
        <v>285</v>
      </c>
      <c r="B271" t="s">
        <v>318</v>
      </c>
      <c r="C271" t="s">
        <v>324</v>
      </c>
      <c r="D271" t="s">
        <v>327</v>
      </c>
      <c r="E271" t="s">
        <v>342</v>
      </c>
      <c r="F271" t="s">
        <v>349</v>
      </c>
      <c r="G271" t="s">
        <v>469</v>
      </c>
      <c r="H271">
        <v>133.30000000000001</v>
      </c>
      <c r="I271" t="s">
        <v>888</v>
      </c>
      <c r="J271" t="s">
        <v>1182</v>
      </c>
      <c r="K271">
        <v>21.22</v>
      </c>
      <c r="L271">
        <v>110</v>
      </c>
      <c r="M271">
        <v>72.7</v>
      </c>
      <c r="N271" t="s">
        <v>1213</v>
      </c>
      <c r="O271">
        <v>20</v>
      </c>
      <c r="P271" t="s">
        <v>1217</v>
      </c>
      <c r="Q271" s="2">
        <f t="shared" si="8"/>
        <v>5877.94</v>
      </c>
      <c r="T271" s="2">
        <f t="shared" si="9"/>
        <v>0.15918979744936232</v>
      </c>
    </row>
    <row r="272" spans="1:20" x14ac:dyDescent="0.25">
      <c r="A272" t="s">
        <v>286</v>
      </c>
      <c r="B272" t="s">
        <v>319</v>
      </c>
      <c r="C272" t="s">
        <v>322</v>
      </c>
      <c r="D272" t="s">
        <v>332</v>
      </c>
      <c r="E272" t="s">
        <v>343</v>
      </c>
      <c r="F272" t="s">
        <v>349</v>
      </c>
      <c r="G272" t="s">
        <v>596</v>
      </c>
      <c r="H272">
        <v>165.9</v>
      </c>
      <c r="I272" t="s">
        <v>889</v>
      </c>
      <c r="J272" t="s">
        <v>1183</v>
      </c>
      <c r="K272">
        <v>25.06</v>
      </c>
      <c r="L272">
        <v>202</v>
      </c>
      <c r="M272">
        <v>49.3</v>
      </c>
      <c r="N272" t="s">
        <v>1213</v>
      </c>
      <c r="O272">
        <v>0</v>
      </c>
      <c r="P272" t="s">
        <v>1218</v>
      </c>
      <c r="Q272" s="2">
        <f t="shared" si="8"/>
        <v>6941.62</v>
      </c>
      <c r="T272" s="2">
        <f t="shared" si="9"/>
        <v>0.15105485232067509</v>
      </c>
    </row>
    <row r="273" spans="1:20" x14ac:dyDescent="0.25">
      <c r="A273" t="s">
        <v>287</v>
      </c>
      <c r="B273" t="s">
        <v>317</v>
      </c>
      <c r="C273" t="s">
        <v>324</v>
      </c>
      <c r="D273" t="s">
        <v>330</v>
      </c>
      <c r="E273" t="s">
        <v>338</v>
      </c>
      <c r="F273" t="s">
        <v>353</v>
      </c>
      <c r="G273" t="s">
        <v>597</v>
      </c>
      <c r="H273">
        <v>18.399999999999999</v>
      </c>
      <c r="I273" t="s">
        <v>890</v>
      </c>
      <c r="J273" t="s">
        <v>1184</v>
      </c>
      <c r="K273">
        <v>2.1</v>
      </c>
      <c r="L273">
        <v>122</v>
      </c>
      <c r="M273">
        <v>9</v>
      </c>
      <c r="N273" t="s">
        <v>1213</v>
      </c>
      <c r="O273">
        <v>0</v>
      </c>
      <c r="P273" t="s">
        <v>1218</v>
      </c>
      <c r="Q273" s="2">
        <f t="shared" si="8"/>
        <v>581.70000000000005</v>
      </c>
      <c r="T273" s="2">
        <f t="shared" si="9"/>
        <v>0.1141304347826087</v>
      </c>
    </row>
    <row r="274" spans="1:20" x14ac:dyDescent="0.25">
      <c r="A274" t="s">
        <v>288</v>
      </c>
      <c r="B274" t="s">
        <v>319</v>
      </c>
      <c r="C274" t="s">
        <v>322</v>
      </c>
      <c r="D274" t="s">
        <v>331</v>
      </c>
      <c r="E274" t="s">
        <v>333</v>
      </c>
      <c r="F274" t="s">
        <v>348</v>
      </c>
      <c r="G274" t="s">
        <v>598</v>
      </c>
      <c r="H274">
        <v>103</v>
      </c>
      <c r="I274" t="s">
        <v>891</v>
      </c>
      <c r="J274" t="s">
        <v>1185</v>
      </c>
      <c r="K274">
        <v>12.24</v>
      </c>
      <c r="L274">
        <v>108</v>
      </c>
      <c r="M274">
        <v>57.2</v>
      </c>
      <c r="N274" t="s">
        <v>1216</v>
      </c>
      <c r="O274">
        <v>5</v>
      </c>
      <c r="P274" t="s">
        <v>1217</v>
      </c>
      <c r="Q274" s="2">
        <f t="shared" si="8"/>
        <v>3390.48</v>
      </c>
      <c r="T274" s="2">
        <f t="shared" si="9"/>
        <v>0.11883495145631068</v>
      </c>
    </row>
    <row r="275" spans="1:20" x14ac:dyDescent="0.25">
      <c r="A275" t="s">
        <v>289</v>
      </c>
      <c r="B275" t="s">
        <v>318</v>
      </c>
      <c r="C275" t="s">
        <v>325</v>
      </c>
      <c r="D275" t="s">
        <v>328</v>
      </c>
      <c r="E275" t="s">
        <v>342</v>
      </c>
      <c r="F275" t="s">
        <v>349</v>
      </c>
      <c r="G275" t="s">
        <v>599</v>
      </c>
      <c r="H275">
        <v>134.30000000000001</v>
      </c>
      <c r="I275" t="s">
        <v>892</v>
      </c>
      <c r="J275" t="s">
        <v>1186</v>
      </c>
      <c r="K275">
        <v>14.99</v>
      </c>
      <c r="L275">
        <v>85</v>
      </c>
      <c r="M275">
        <v>94.8</v>
      </c>
      <c r="N275" t="s">
        <v>1214</v>
      </c>
      <c r="O275">
        <v>0</v>
      </c>
      <c r="P275" t="s">
        <v>1218</v>
      </c>
      <c r="Q275" s="2">
        <f t="shared" si="8"/>
        <v>4152.2300000000005</v>
      </c>
      <c r="T275" s="2">
        <f t="shared" si="9"/>
        <v>0.11161578555472822</v>
      </c>
    </row>
    <row r="276" spans="1:20" x14ac:dyDescent="0.25">
      <c r="A276" t="s">
        <v>290</v>
      </c>
      <c r="B276" t="s">
        <v>321</v>
      </c>
      <c r="C276" t="s">
        <v>324</v>
      </c>
      <c r="D276" t="s">
        <v>326</v>
      </c>
      <c r="E276" t="s">
        <v>347</v>
      </c>
      <c r="F276" t="s">
        <v>352</v>
      </c>
      <c r="G276" t="s">
        <v>382</v>
      </c>
      <c r="H276">
        <v>74.099999999999994</v>
      </c>
      <c r="I276" t="s">
        <v>893</v>
      </c>
      <c r="J276" t="s">
        <v>1187</v>
      </c>
      <c r="K276">
        <v>9.2100000000000009</v>
      </c>
      <c r="L276">
        <v>91</v>
      </c>
      <c r="M276">
        <v>48.9</v>
      </c>
      <c r="N276" t="s">
        <v>1216</v>
      </c>
      <c r="O276">
        <v>10</v>
      </c>
      <c r="P276" t="s">
        <v>1217</v>
      </c>
      <c r="Q276" s="2">
        <f t="shared" si="8"/>
        <v>2551.17</v>
      </c>
      <c r="T276" s="2">
        <f t="shared" si="9"/>
        <v>0.12429149797570853</v>
      </c>
    </row>
    <row r="277" spans="1:20" x14ac:dyDescent="0.25">
      <c r="A277" t="s">
        <v>291</v>
      </c>
      <c r="B277" t="s">
        <v>321</v>
      </c>
      <c r="C277" t="s">
        <v>325</v>
      </c>
      <c r="D277" t="s">
        <v>332</v>
      </c>
      <c r="E277" t="s">
        <v>337</v>
      </c>
      <c r="F277" t="s">
        <v>353</v>
      </c>
      <c r="G277" t="s">
        <v>600</v>
      </c>
      <c r="H277">
        <v>123</v>
      </c>
      <c r="I277" t="s">
        <v>894</v>
      </c>
      <c r="J277" t="s">
        <v>1188</v>
      </c>
      <c r="K277">
        <v>14.18</v>
      </c>
      <c r="L277">
        <v>212</v>
      </c>
      <c r="M277">
        <v>34.799999999999997</v>
      </c>
      <c r="N277" t="s">
        <v>1214</v>
      </c>
      <c r="O277">
        <v>25</v>
      </c>
      <c r="P277" t="s">
        <v>1217</v>
      </c>
      <c r="Q277" s="2">
        <f t="shared" si="8"/>
        <v>3927.86</v>
      </c>
      <c r="T277" s="2">
        <f t="shared" si="9"/>
        <v>0.11528455284552845</v>
      </c>
    </row>
    <row r="278" spans="1:20" x14ac:dyDescent="0.25">
      <c r="A278" t="s">
        <v>292</v>
      </c>
      <c r="B278" t="s">
        <v>318</v>
      </c>
      <c r="C278" t="s">
        <v>323</v>
      </c>
      <c r="D278" t="s">
        <v>331</v>
      </c>
      <c r="E278" t="s">
        <v>346</v>
      </c>
      <c r="F278" t="s">
        <v>352</v>
      </c>
      <c r="G278" t="s">
        <v>601</v>
      </c>
      <c r="H278">
        <v>208.6</v>
      </c>
      <c r="I278" t="s">
        <v>895</v>
      </c>
      <c r="J278" t="s">
        <v>1189</v>
      </c>
      <c r="K278">
        <v>31.87</v>
      </c>
      <c r="L278">
        <v>186</v>
      </c>
      <c r="M278">
        <v>67.3</v>
      </c>
      <c r="N278" t="s">
        <v>1214</v>
      </c>
      <c r="O278">
        <v>5</v>
      </c>
      <c r="P278" t="s">
        <v>1217</v>
      </c>
      <c r="Q278" s="2">
        <f t="shared" si="8"/>
        <v>8827.99</v>
      </c>
      <c r="T278" s="2">
        <f t="shared" si="9"/>
        <v>0.15278044103547461</v>
      </c>
    </row>
    <row r="279" spans="1:20" x14ac:dyDescent="0.25">
      <c r="A279" t="s">
        <v>293</v>
      </c>
      <c r="B279" t="s">
        <v>320</v>
      </c>
      <c r="C279" t="s">
        <v>325</v>
      </c>
      <c r="D279" t="s">
        <v>330</v>
      </c>
      <c r="E279" t="s">
        <v>333</v>
      </c>
      <c r="F279" t="s">
        <v>354</v>
      </c>
      <c r="G279" t="s">
        <v>602</v>
      </c>
      <c r="H279">
        <v>235.5</v>
      </c>
      <c r="I279" t="s">
        <v>896</v>
      </c>
      <c r="J279" t="s">
        <v>1190</v>
      </c>
      <c r="K279">
        <v>33.65</v>
      </c>
      <c r="L279">
        <v>173</v>
      </c>
      <c r="M279">
        <v>81.7</v>
      </c>
      <c r="N279" t="s">
        <v>1214</v>
      </c>
      <c r="O279">
        <v>15</v>
      </c>
      <c r="P279" t="s">
        <v>1217</v>
      </c>
      <c r="Q279" s="2">
        <f t="shared" si="8"/>
        <v>9321.0499999999993</v>
      </c>
      <c r="T279" s="2">
        <f t="shared" si="9"/>
        <v>0.14288747346072186</v>
      </c>
    </row>
    <row r="280" spans="1:20" x14ac:dyDescent="0.25">
      <c r="A280" t="s">
        <v>294</v>
      </c>
      <c r="B280" t="s">
        <v>321</v>
      </c>
      <c r="C280" t="s">
        <v>322</v>
      </c>
      <c r="D280" t="s">
        <v>331</v>
      </c>
      <c r="E280" t="s">
        <v>347</v>
      </c>
      <c r="F280" t="s">
        <v>351</v>
      </c>
      <c r="G280" t="s">
        <v>603</v>
      </c>
      <c r="H280">
        <v>38.299999999999997</v>
      </c>
      <c r="I280" t="s">
        <v>897</v>
      </c>
      <c r="J280" t="s">
        <v>1191</v>
      </c>
      <c r="K280">
        <v>4.3499999999999996</v>
      </c>
      <c r="L280">
        <v>213</v>
      </c>
      <c r="M280">
        <v>10.8</v>
      </c>
      <c r="N280" t="s">
        <v>1214</v>
      </c>
      <c r="O280">
        <v>10</v>
      </c>
      <c r="P280" t="s">
        <v>1217</v>
      </c>
      <c r="Q280" s="2">
        <f t="shared" si="8"/>
        <v>1204.9499999999998</v>
      </c>
      <c r="T280" s="2">
        <f t="shared" si="9"/>
        <v>0.11357702349869452</v>
      </c>
    </row>
    <row r="281" spans="1:20" x14ac:dyDescent="0.25">
      <c r="A281" t="s">
        <v>295</v>
      </c>
      <c r="B281" t="s">
        <v>319</v>
      </c>
      <c r="C281" t="s">
        <v>323</v>
      </c>
      <c r="D281" t="s">
        <v>327</v>
      </c>
      <c r="E281" t="s">
        <v>345</v>
      </c>
      <c r="F281" t="s">
        <v>348</v>
      </c>
      <c r="G281" t="s">
        <v>494</v>
      </c>
      <c r="H281">
        <v>226.9</v>
      </c>
      <c r="I281" t="s">
        <v>898</v>
      </c>
      <c r="J281" t="s">
        <v>1192</v>
      </c>
      <c r="K281">
        <v>32.72</v>
      </c>
      <c r="L281">
        <v>123</v>
      </c>
      <c r="M281">
        <v>67</v>
      </c>
      <c r="N281" t="s">
        <v>1215</v>
      </c>
      <c r="O281">
        <v>0</v>
      </c>
      <c r="P281" t="s">
        <v>1218</v>
      </c>
      <c r="Q281" s="2">
        <f t="shared" si="8"/>
        <v>9063.44</v>
      </c>
      <c r="T281" s="2">
        <f t="shared" si="9"/>
        <v>0.14420449537241076</v>
      </c>
    </row>
    <row r="282" spans="1:20" x14ac:dyDescent="0.25">
      <c r="A282" t="s">
        <v>296</v>
      </c>
      <c r="B282" t="s">
        <v>321</v>
      </c>
      <c r="C282" t="s">
        <v>324</v>
      </c>
      <c r="D282" t="s">
        <v>330</v>
      </c>
      <c r="E282" t="s">
        <v>343</v>
      </c>
      <c r="F282" t="s">
        <v>348</v>
      </c>
      <c r="G282" t="s">
        <v>604</v>
      </c>
      <c r="H282">
        <v>94.9</v>
      </c>
      <c r="I282" t="s">
        <v>899</v>
      </c>
      <c r="J282" t="s">
        <v>1193</v>
      </c>
      <c r="K282">
        <v>10.92</v>
      </c>
      <c r="L282">
        <v>232</v>
      </c>
      <c r="M282">
        <v>24.5</v>
      </c>
      <c r="N282" t="s">
        <v>1214</v>
      </c>
      <c r="O282">
        <v>0</v>
      </c>
      <c r="P282" t="s">
        <v>1218</v>
      </c>
      <c r="Q282" s="2">
        <f t="shared" si="8"/>
        <v>3024.84</v>
      </c>
      <c r="T282" s="2">
        <f t="shared" si="9"/>
        <v>0.11506849315068493</v>
      </c>
    </row>
    <row r="283" spans="1:20" x14ac:dyDescent="0.25">
      <c r="A283" t="s">
        <v>297</v>
      </c>
      <c r="B283" t="s">
        <v>316</v>
      </c>
      <c r="C283" t="s">
        <v>325</v>
      </c>
      <c r="D283" t="s">
        <v>328</v>
      </c>
      <c r="E283" t="s">
        <v>337</v>
      </c>
      <c r="F283" t="s">
        <v>350</v>
      </c>
      <c r="G283" t="s">
        <v>605</v>
      </c>
      <c r="H283">
        <v>195</v>
      </c>
      <c r="I283" t="s">
        <v>900</v>
      </c>
      <c r="J283" t="s">
        <v>1194</v>
      </c>
      <c r="K283">
        <v>32.479999999999997</v>
      </c>
      <c r="L283">
        <v>83</v>
      </c>
      <c r="M283">
        <v>76</v>
      </c>
      <c r="N283" t="s">
        <v>1215</v>
      </c>
      <c r="O283">
        <v>0</v>
      </c>
      <c r="P283" t="s">
        <v>1218</v>
      </c>
      <c r="Q283" s="2">
        <f t="shared" si="8"/>
        <v>8996.9599999999991</v>
      </c>
      <c r="T283" s="2">
        <f t="shared" si="9"/>
        <v>0.16656410256410256</v>
      </c>
    </row>
    <row r="284" spans="1:20" x14ac:dyDescent="0.25">
      <c r="A284" t="s">
        <v>298</v>
      </c>
      <c r="B284" t="s">
        <v>320</v>
      </c>
      <c r="C284" t="s">
        <v>323</v>
      </c>
      <c r="D284" t="s">
        <v>331</v>
      </c>
      <c r="E284" t="s">
        <v>343</v>
      </c>
      <c r="F284" t="s">
        <v>349</v>
      </c>
      <c r="G284" t="s">
        <v>606</v>
      </c>
      <c r="H284">
        <v>43.3</v>
      </c>
      <c r="I284" t="s">
        <v>901</v>
      </c>
      <c r="J284" t="s">
        <v>1195</v>
      </c>
      <c r="K284">
        <v>5.24</v>
      </c>
      <c r="L284">
        <v>186</v>
      </c>
      <c r="M284">
        <v>14</v>
      </c>
      <c r="N284" t="s">
        <v>1213</v>
      </c>
      <c r="O284">
        <v>15</v>
      </c>
      <c r="P284" t="s">
        <v>1217</v>
      </c>
      <c r="Q284" s="2">
        <f t="shared" si="8"/>
        <v>1451.48</v>
      </c>
      <c r="T284" s="2">
        <f t="shared" si="9"/>
        <v>0.12101616628175521</v>
      </c>
    </row>
    <row r="285" spans="1:20" x14ac:dyDescent="0.25">
      <c r="A285" t="s">
        <v>299</v>
      </c>
      <c r="B285" t="s">
        <v>319</v>
      </c>
      <c r="C285" t="s">
        <v>325</v>
      </c>
      <c r="D285" t="s">
        <v>328</v>
      </c>
      <c r="E285" t="s">
        <v>346</v>
      </c>
      <c r="F285" t="s">
        <v>353</v>
      </c>
      <c r="G285" t="s">
        <v>469</v>
      </c>
      <c r="H285">
        <v>125.3</v>
      </c>
      <c r="I285" t="s">
        <v>902</v>
      </c>
      <c r="J285" t="s">
        <v>1196</v>
      </c>
      <c r="K285">
        <v>20.3</v>
      </c>
      <c r="L285">
        <v>177</v>
      </c>
      <c r="M285">
        <v>42.5</v>
      </c>
      <c r="N285" t="s">
        <v>1213</v>
      </c>
      <c r="O285">
        <v>15</v>
      </c>
      <c r="P285" t="s">
        <v>1217</v>
      </c>
      <c r="Q285" s="2">
        <f t="shared" si="8"/>
        <v>5623.1</v>
      </c>
      <c r="T285" s="2">
        <f t="shared" si="9"/>
        <v>0.16201117318435754</v>
      </c>
    </row>
    <row r="286" spans="1:20" x14ac:dyDescent="0.25">
      <c r="A286" t="s">
        <v>300</v>
      </c>
      <c r="B286" t="s">
        <v>319</v>
      </c>
      <c r="C286" t="s">
        <v>323</v>
      </c>
      <c r="D286" t="s">
        <v>330</v>
      </c>
      <c r="E286" t="s">
        <v>340</v>
      </c>
      <c r="F286" t="s">
        <v>350</v>
      </c>
      <c r="G286" t="s">
        <v>607</v>
      </c>
      <c r="H286">
        <v>35</v>
      </c>
      <c r="I286" t="s">
        <v>903</v>
      </c>
      <c r="J286" t="s">
        <v>1197</v>
      </c>
      <c r="K286">
        <v>4.43</v>
      </c>
      <c r="L286">
        <v>196</v>
      </c>
      <c r="M286">
        <v>10.7</v>
      </c>
      <c r="N286" t="s">
        <v>1216</v>
      </c>
      <c r="O286">
        <v>0</v>
      </c>
      <c r="P286" t="s">
        <v>1218</v>
      </c>
      <c r="Q286" s="2">
        <f t="shared" si="8"/>
        <v>1227.1099999999999</v>
      </c>
      <c r="T286" s="2">
        <f t="shared" si="9"/>
        <v>0.12657142857142856</v>
      </c>
    </row>
    <row r="287" spans="1:20" x14ac:dyDescent="0.25">
      <c r="A287" t="s">
        <v>301</v>
      </c>
      <c r="B287" t="s">
        <v>317</v>
      </c>
      <c r="C287" t="s">
        <v>325</v>
      </c>
      <c r="D287" t="s">
        <v>326</v>
      </c>
      <c r="E287" t="s">
        <v>333</v>
      </c>
      <c r="F287" t="s">
        <v>351</v>
      </c>
      <c r="G287" t="s">
        <v>600</v>
      </c>
      <c r="H287">
        <v>133.69999999999999</v>
      </c>
      <c r="I287" t="s">
        <v>904</v>
      </c>
      <c r="J287" t="s">
        <v>1198</v>
      </c>
      <c r="K287">
        <v>17.21</v>
      </c>
      <c r="L287">
        <v>102</v>
      </c>
      <c r="M287">
        <v>78.599999999999994</v>
      </c>
      <c r="N287" t="s">
        <v>1213</v>
      </c>
      <c r="O287">
        <v>20</v>
      </c>
      <c r="P287" t="s">
        <v>1217</v>
      </c>
      <c r="Q287" s="2">
        <f t="shared" si="8"/>
        <v>4767.17</v>
      </c>
      <c r="T287" s="2">
        <f t="shared" si="9"/>
        <v>0.12872101720269261</v>
      </c>
    </row>
    <row r="288" spans="1:20" x14ac:dyDescent="0.25">
      <c r="A288" t="s">
        <v>302</v>
      </c>
      <c r="B288" t="s">
        <v>318</v>
      </c>
      <c r="C288" t="s">
        <v>323</v>
      </c>
      <c r="D288" t="s">
        <v>329</v>
      </c>
      <c r="E288" t="s">
        <v>337</v>
      </c>
      <c r="F288" t="s">
        <v>351</v>
      </c>
      <c r="G288" t="s">
        <v>608</v>
      </c>
      <c r="H288">
        <v>200.9</v>
      </c>
      <c r="I288" t="s">
        <v>905</v>
      </c>
      <c r="J288" t="s">
        <v>1199</v>
      </c>
      <c r="K288">
        <v>26.92</v>
      </c>
      <c r="L288">
        <v>57</v>
      </c>
      <c r="M288">
        <v>62</v>
      </c>
      <c r="N288" t="s">
        <v>1213</v>
      </c>
      <c r="O288">
        <v>15</v>
      </c>
      <c r="P288" t="s">
        <v>1217</v>
      </c>
      <c r="Q288" s="2">
        <f t="shared" si="8"/>
        <v>7456.84</v>
      </c>
      <c r="T288" s="2">
        <f t="shared" si="9"/>
        <v>0.13399701343952217</v>
      </c>
    </row>
    <row r="289" spans="1:20" x14ac:dyDescent="0.25">
      <c r="A289" t="s">
        <v>303</v>
      </c>
      <c r="B289" t="s">
        <v>316</v>
      </c>
      <c r="C289" t="s">
        <v>323</v>
      </c>
      <c r="D289" t="s">
        <v>327</v>
      </c>
      <c r="E289" t="s">
        <v>334</v>
      </c>
      <c r="F289" t="s">
        <v>354</v>
      </c>
      <c r="G289" t="s">
        <v>487</v>
      </c>
      <c r="H289">
        <v>211.3</v>
      </c>
      <c r="I289" t="s">
        <v>906</v>
      </c>
      <c r="J289" t="s">
        <v>1200</v>
      </c>
      <c r="K289">
        <v>29.04</v>
      </c>
      <c r="L289">
        <v>49</v>
      </c>
      <c r="M289">
        <v>65</v>
      </c>
      <c r="N289" t="s">
        <v>1215</v>
      </c>
      <c r="O289">
        <v>0</v>
      </c>
      <c r="P289" t="s">
        <v>1218</v>
      </c>
      <c r="Q289" s="2">
        <f t="shared" si="8"/>
        <v>8044.08</v>
      </c>
      <c r="T289" s="2">
        <f t="shared" si="9"/>
        <v>0.13743492664458115</v>
      </c>
    </row>
    <row r="290" spans="1:20" x14ac:dyDescent="0.25">
      <c r="A290" t="s">
        <v>304</v>
      </c>
      <c r="B290" t="s">
        <v>320</v>
      </c>
      <c r="C290" t="s">
        <v>324</v>
      </c>
      <c r="D290" t="s">
        <v>327</v>
      </c>
      <c r="E290" t="s">
        <v>339</v>
      </c>
      <c r="F290" t="s">
        <v>352</v>
      </c>
      <c r="G290" t="s">
        <v>609</v>
      </c>
      <c r="H290">
        <v>158.80000000000001</v>
      </c>
      <c r="I290" t="s">
        <v>907</v>
      </c>
      <c r="J290" t="s">
        <v>1201</v>
      </c>
      <c r="K290">
        <v>19.059999999999999</v>
      </c>
      <c r="L290">
        <v>54</v>
      </c>
      <c r="M290">
        <v>69</v>
      </c>
      <c r="N290" t="s">
        <v>1214</v>
      </c>
      <c r="O290">
        <v>20</v>
      </c>
      <c r="P290" t="s">
        <v>1217</v>
      </c>
      <c r="Q290" s="2">
        <f t="shared" si="8"/>
        <v>5279.62</v>
      </c>
      <c r="T290" s="2">
        <f t="shared" si="9"/>
        <v>0.12002518891687655</v>
      </c>
    </row>
    <row r="291" spans="1:20" x14ac:dyDescent="0.25">
      <c r="A291" t="s">
        <v>305</v>
      </c>
      <c r="B291" t="s">
        <v>320</v>
      </c>
      <c r="C291" t="s">
        <v>322</v>
      </c>
      <c r="D291" t="s">
        <v>328</v>
      </c>
      <c r="E291" t="s">
        <v>347</v>
      </c>
      <c r="F291" t="s">
        <v>349</v>
      </c>
      <c r="G291" t="s">
        <v>610</v>
      </c>
      <c r="H291">
        <v>13.8</v>
      </c>
      <c r="I291" t="s">
        <v>908</v>
      </c>
      <c r="J291" t="s">
        <v>1202</v>
      </c>
      <c r="K291">
        <v>2.0099999999999998</v>
      </c>
      <c r="L291">
        <v>205</v>
      </c>
      <c r="M291">
        <v>4</v>
      </c>
      <c r="N291" t="s">
        <v>1216</v>
      </c>
      <c r="O291">
        <v>15</v>
      </c>
      <c r="P291" t="s">
        <v>1217</v>
      </c>
      <c r="Q291" s="2">
        <f t="shared" si="8"/>
        <v>556.77</v>
      </c>
      <c r="T291" s="2">
        <f t="shared" si="9"/>
        <v>0.14565217391304344</v>
      </c>
    </row>
    <row r="292" spans="1:20" x14ac:dyDescent="0.25">
      <c r="A292" t="s">
        <v>306</v>
      </c>
      <c r="B292" t="s">
        <v>320</v>
      </c>
      <c r="C292" t="s">
        <v>325</v>
      </c>
      <c r="D292" t="s">
        <v>330</v>
      </c>
      <c r="E292" t="s">
        <v>335</v>
      </c>
      <c r="F292" t="s">
        <v>354</v>
      </c>
      <c r="G292" t="s">
        <v>611</v>
      </c>
      <c r="H292">
        <v>239</v>
      </c>
      <c r="I292" t="s">
        <v>909</v>
      </c>
      <c r="J292" t="s">
        <v>1203</v>
      </c>
      <c r="K292">
        <v>39.29</v>
      </c>
      <c r="L292">
        <v>134</v>
      </c>
      <c r="M292">
        <v>68</v>
      </c>
      <c r="N292" t="s">
        <v>1216</v>
      </c>
      <c r="O292">
        <v>0</v>
      </c>
      <c r="P292" t="s">
        <v>1218</v>
      </c>
      <c r="Q292" s="2">
        <f t="shared" si="8"/>
        <v>10883.33</v>
      </c>
      <c r="T292" s="2">
        <f t="shared" si="9"/>
        <v>0.16439330543933053</v>
      </c>
    </row>
    <row r="293" spans="1:20" x14ac:dyDescent="0.25">
      <c r="A293" t="s">
        <v>307</v>
      </c>
      <c r="B293" t="s">
        <v>320</v>
      </c>
      <c r="C293" t="s">
        <v>325</v>
      </c>
      <c r="D293" t="s">
        <v>327</v>
      </c>
      <c r="E293" t="s">
        <v>345</v>
      </c>
      <c r="F293" t="s">
        <v>349</v>
      </c>
      <c r="G293" t="s">
        <v>612</v>
      </c>
      <c r="H293">
        <v>32.799999999999997</v>
      </c>
      <c r="I293" t="s">
        <v>910</v>
      </c>
      <c r="J293" t="s">
        <v>1204</v>
      </c>
      <c r="K293">
        <v>3.96</v>
      </c>
      <c r="L293">
        <v>231</v>
      </c>
      <c r="M293">
        <v>8.5</v>
      </c>
      <c r="N293" t="s">
        <v>1213</v>
      </c>
      <c r="O293">
        <v>0</v>
      </c>
      <c r="P293" t="s">
        <v>1218</v>
      </c>
      <c r="Q293" s="2">
        <f t="shared" si="8"/>
        <v>1096.92</v>
      </c>
      <c r="T293" s="2">
        <f t="shared" si="9"/>
        <v>0.12073170731707318</v>
      </c>
    </row>
    <row r="294" spans="1:20" x14ac:dyDescent="0.25">
      <c r="A294" t="s">
        <v>308</v>
      </c>
      <c r="B294" t="s">
        <v>321</v>
      </c>
      <c r="C294" t="s">
        <v>323</v>
      </c>
      <c r="D294" t="s">
        <v>329</v>
      </c>
      <c r="E294" t="s">
        <v>333</v>
      </c>
      <c r="F294" t="s">
        <v>349</v>
      </c>
      <c r="G294" t="s">
        <v>613</v>
      </c>
      <c r="H294">
        <v>198.9</v>
      </c>
      <c r="I294" t="s">
        <v>911</v>
      </c>
      <c r="J294" t="s">
        <v>1205</v>
      </c>
      <c r="K294">
        <v>30.01</v>
      </c>
      <c r="L294">
        <v>159</v>
      </c>
      <c r="M294">
        <v>75.099999999999994</v>
      </c>
      <c r="N294" t="s">
        <v>1216</v>
      </c>
      <c r="O294">
        <v>20</v>
      </c>
      <c r="P294" t="s">
        <v>1217</v>
      </c>
      <c r="Q294" s="2">
        <f t="shared" si="8"/>
        <v>8312.77</v>
      </c>
      <c r="T294" s="2">
        <f t="shared" si="9"/>
        <v>0.15087983911513322</v>
      </c>
    </row>
    <row r="295" spans="1:20" x14ac:dyDescent="0.25">
      <c r="A295" t="s">
        <v>309</v>
      </c>
      <c r="B295" t="s">
        <v>319</v>
      </c>
      <c r="C295" t="s">
        <v>324</v>
      </c>
      <c r="D295" t="s">
        <v>330</v>
      </c>
      <c r="E295" t="s">
        <v>340</v>
      </c>
      <c r="F295" t="s">
        <v>348</v>
      </c>
      <c r="G295" t="s">
        <v>614</v>
      </c>
      <c r="H295">
        <v>238.2</v>
      </c>
      <c r="I295" t="s">
        <v>912</v>
      </c>
      <c r="J295" t="s">
        <v>1206</v>
      </c>
      <c r="K295">
        <v>31.3</v>
      </c>
      <c r="L295">
        <v>154</v>
      </c>
      <c r="M295">
        <v>92.8</v>
      </c>
      <c r="N295" t="s">
        <v>1213</v>
      </c>
      <c r="O295">
        <v>0</v>
      </c>
      <c r="P295" t="s">
        <v>1218</v>
      </c>
      <c r="Q295" s="2">
        <f t="shared" si="8"/>
        <v>8670.1</v>
      </c>
      <c r="T295" s="2">
        <f t="shared" si="9"/>
        <v>0.13140218303946263</v>
      </c>
    </row>
    <row r="296" spans="1:20" x14ac:dyDescent="0.25">
      <c r="A296" t="s">
        <v>310</v>
      </c>
      <c r="B296" t="s">
        <v>318</v>
      </c>
      <c r="C296" t="s">
        <v>325</v>
      </c>
      <c r="D296" t="s">
        <v>327</v>
      </c>
      <c r="E296" t="s">
        <v>341</v>
      </c>
      <c r="F296" t="s">
        <v>349</v>
      </c>
      <c r="G296" t="s">
        <v>615</v>
      </c>
      <c r="H296">
        <v>74.099999999999994</v>
      </c>
      <c r="I296" t="s">
        <v>913</v>
      </c>
      <c r="J296" t="s">
        <v>1207</v>
      </c>
      <c r="K296">
        <v>8.69</v>
      </c>
      <c r="L296">
        <v>126</v>
      </c>
      <c r="M296">
        <v>35.299999999999997</v>
      </c>
      <c r="N296" t="s">
        <v>1216</v>
      </c>
      <c r="O296">
        <v>25</v>
      </c>
      <c r="P296" t="s">
        <v>1217</v>
      </c>
      <c r="Q296" s="2">
        <f t="shared" si="8"/>
        <v>2407.1299999999997</v>
      </c>
      <c r="T296" s="2">
        <f t="shared" si="9"/>
        <v>0.11727395411605938</v>
      </c>
    </row>
    <row r="297" spans="1:20" x14ac:dyDescent="0.25">
      <c r="A297" t="s">
        <v>311</v>
      </c>
      <c r="B297" t="s">
        <v>319</v>
      </c>
      <c r="C297" t="s">
        <v>323</v>
      </c>
      <c r="D297" t="s">
        <v>328</v>
      </c>
      <c r="E297" t="s">
        <v>345</v>
      </c>
      <c r="F297" t="s">
        <v>348</v>
      </c>
      <c r="G297" t="s">
        <v>616</v>
      </c>
      <c r="H297">
        <v>155.4</v>
      </c>
      <c r="I297" t="s">
        <v>914</v>
      </c>
      <c r="J297" t="s">
        <v>1208</v>
      </c>
      <c r="K297">
        <v>18.68</v>
      </c>
      <c r="L297">
        <v>122</v>
      </c>
      <c r="M297">
        <v>76.400000000000006</v>
      </c>
      <c r="N297" t="s">
        <v>1216</v>
      </c>
      <c r="O297">
        <v>25</v>
      </c>
      <c r="P297" t="s">
        <v>1217</v>
      </c>
      <c r="Q297" s="2">
        <f t="shared" si="8"/>
        <v>5174.3599999999997</v>
      </c>
      <c r="T297" s="2">
        <f t="shared" si="9"/>
        <v>0.12020592020592021</v>
      </c>
    </row>
    <row r="298" spans="1:20" x14ac:dyDescent="0.25">
      <c r="A298" t="s">
        <v>312</v>
      </c>
      <c r="B298" t="s">
        <v>321</v>
      </c>
      <c r="C298" t="s">
        <v>322</v>
      </c>
      <c r="D298" t="s">
        <v>328</v>
      </c>
      <c r="E298" t="s">
        <v>337</v>
      </c>
      <c r="F298" t="s">
        <v>349</v>
      </c>
      <c r="G298" t="s">
        <v>617</v>
      </c>
      <c r="H298">
        <v>46.7</v>
      </c>
      <c r="I298" t="s">
        <v>915</v>
      </c>
      <c r="J298" t="s">
        <v>1209</v>
      </c>
      <c r="K298">
        <v>7.47</v>
      </c>
      <c r="L298">
        <v>225</v>
      </c>
      <c r="M298">
        <v>12.5</v>
      </c>
      <c r="N298" t="s">
        <v>1215</v>
      </c>
      <c r="O298">
        <v>5</v>
      </c>
      <c r="P298" t="s">
        <v>1217</v>
      </c>
      <c r="Q298" s="2">
        <f t="shared" si="8"/>
        <v>2069.19</v>
      </c>
      <c r="T298" s="2">
        <f t="shared" si="9"/>
        <v>0.15995717344753746</v>
      </c>
    </row>
    <row r="299" spans="1:20" x14ac:dyDescent="0.25">
      <c r="A299" t="s">
        <v>313</v>
      </c>
      <c r="B299" t="s">
        <v>319</v>
      </c>
      <c r="C299" t="s">
        <v>325</v>
      </c>
      <c r="D299" t="s">
        <v>330</v>
      </c>
      <c r="E299" t="s">
        <v>342</v>
      </c>
      <c r="F299" t="s">
        <v>352</v>
      </c>
      <c r="G299" t="s">
        <v>618</v>
      </c>
      <c r="H299">
        <v>194.3</v>
      </c>
      <c r="I299" t="s">
        <v>916</v>
      </c>
      <c r="J299" t="s">
        <v>1210</v>
      </c>
      <c r="K299">
        <v>23.1</v>
      </c>
      <c r="L299">
        <v>136</v>
      </c>
      <c r="M299">
        <v>85.7</v>
      </c>
      <c r="N299" t="s">
        <v>1213</v>
      </c>
      <c r="O299">
        <v>5</v>
      </c>
      <c r="P299" t="s">
        <v>1217</v>
      </c>
      <c r="Q299" s="2">
        <f t="shared" si="8"/>
        <v>6398.7000000000007</v>
      </c>
      <c r="T299" s="2">
        <f t="shared" si="9"/>
        <v>0.1188883170355121</v>
      </c>
    </row>
    <row r="300" spans="1:20" x14ac:dyDescent="0.25">
      <c r="A300" t="s">
        <v>314</v>
      </c>
      <c r="B300" t="s">
        <v>317</v>
      </c>
      <c r="C300" t="s">
        <v>322</v>
      </c>
      <c r="D300" t="s">
        <v>328</v>
      </c>
      <c r="E300" t="s">
        <v>347</v>
      </c>
      <c r="F300" t="s">
        <v>348</v>
      </c>
      <c r="G300" t="s">
        <v>619</v>
      </c>
      <c r="H300">
        <v>153.9</v>
      </c>
      <c r="I300" t="s">
        <v>917</v>
      </c>
      <c r="J300" t="s">
        <v>1211</v>
      </c>
      <c r="K300">
        <v>25.2</v>
      </c>
      <c r="L300">
        <v>60</v>
      </c>
      <c r="M300">
        <v>56</v>
      </c>
      <c r="N300" t="s">
        <v>1214</v>
      </c>
      <c r="O300">
        <v>5</v>
      </c>
      <c r="P300" t="s">
        <v>1217</v>
      </c>
      <c r="Q300" s="2">
        <f t="shared" si="8"/>
        <v>6980.4</v>
      </c>
      <c r="T300" s="2">
        <f t="shared" si="9"/>
        <v>0.16374269005847952</v>
      </c>
    </row>
    <row r="301" spans="1:20" x14ac:dyDescent="0.25">
      <c r="A301" t="s">
        <v>315</v>
      </c>
      <c r="B301" t="s">
        <v>318</v>
      </c>
      <c r="C301" t="s">
        <v>323</v>
      </c>
      <c r="D301" t="s">
        <v>331</v>
      </c>
      <c r="E301" t="s">
        <v>347</v>
      </c>
      <c r="F301" t="s">
        <v>348</v>
      </c>
      <c r="G301" t="s">
        <v>376</v>
      </c>
      <c r="H301">
        <v>124.2</v>
      </c>
      <c r="I301" t="s">
        <v>918</v>
      </c>
      <c r="J301" t="s">
        <v>1212</v>
      </c>
      <c r="K301">
        <v>15.6</v>
      </c>
      <c r="L301">
        <v>87</v>
      </c>
      <c r="M301">
        <v>85.7</v>
      </c>
      <c r="N301" t="s">
        <v>1214</v>
      </c>
      <c r="O301">
        <v>0</v>
      </c>
      <c r="P301" t="s">
        <v>1218</v>
      </c>
      <c r="Q301" s="2">
        <f t="shared" si="8"/>
        <v>4321.2</v>
      </c>
      <c r="T301" s="2">
        <f t="shared" si="9"/>
        <v>0.12560386473429952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1D66-19F9-41F9-8BF3-87830F6C7335}">
  <dimension ref="A1:D301"/>
  <sheetViews>
    <sheetView tabSelected="1" workbookViewId="0">
      <selection activeCell="G8" sqref="G8"/>
    </sheetView>
  </sheetViews>
  <sheetFormatPr defaultRowHeight="15" x14ac:dyDescent="0.25"/>
  <cols>
    <col min="1" max="1" width="10.5703125" bestFit="1" customWidth="1"/>
    <col min="3" max="3" width="10.5703125" bestFit="1" customWidth="1"/>
    <col min="4" max="4" width="20.140625" bestFit="1" customWidth="1"/>
  </cols>
  <sheetData>
    <row r="1" spans="1:4" x14ac:dyDescent="0.25">
      <c r="A1" s="1" t="s">
        <v>14</v>
      </c>
      <c r="C1" s="7" t="s">
        <v>14</v>
      </c>
      <c r="D1" s="8" t="s">
        <v>1224</v>
      </c>
    </row>
    <row r="2" spans="1:4" x14ac:dyDescent="0.25">
      <c r="A2">
        <v>5</v>
      </c>
      <c r="C2" s="6">
        <v>0</v>
      </c>
      <c r="D2" s="6">
        <f>COUNTIF($A$2:$A$301,C2)</f>
        <v>87</v>
      </c>
    </row>
    <row r="3" spans="1:4" x14ac:dyDescent="0.25">
      <c r="A3">
        <v>20</v>
      </c>
      <c r="C3" s="6">
        <v>5</v>
      </c>
      <c r="D3" s="6">
        <f t="shared" ref="D3:D7" si="0">COUNTIF($A$2:$A$301,C3)</f>
        <v>45</v>
      </c>
    </row>
    <row r="4" spans="1:4" x14ac:dyDescent="0.25">
      <c r="A4">
        <v>15</v>
      </c>
      <c r="C4" s="6">
        <v>20</v>
      </c>
      <c r="D4" s="6">
        <f t="shared" si="0"/>
        <v>43</v>
      </c>
    </row>
    <row r="5" spans="1:4" x14ac:dyDescent="0.25">
      <c r="A5">
        <v>5</v>
      </c>
      <c r="C5" s="6">
        <v>15</v>
      </c>
      <c r="D5" s="6">
        <f t="shared" si="0"/>
        <v>39</v>
      </c>
    </row>
    <row r="6" spans="1:4" x14ac:dyDescent="0.25">
      <c r="A6">
        <v>15</v>
      </c>
      <c r="C6" s="9">
        <v>10</v>
      </c>
      <c r="D6" s="9">
        <f t="shared" si="0"/>
        <v>44</v>
      </c>
    </row>
    <row r="7" spans="1:4" x14ac:dyDescent="0.25">
      <c r="A7">
        <v>10</v>
      </c>
      <c r="C7" s="9">
        <v>25</v>
      </c>
      <c r="D7" s="9">
        <f t="shared" si="0"/>
        <v>42</v>
      </c>
    </row>
    <row r="8" spans="1:4" x14ac:dyDescent="0.25">
      <c r="A8">
        <v>15</v>
      </c>
    </row>
    <row r="9" spans="1:4" x14ac:dyDescent="0.25">
      <c r="A9">
        <v>0</v>
      </c>
    </row>
    <row r="10" spans="1:4" x14ac:dyDescent="0.25">
      <c r="A10">
        <v>10</v>
      </c>
    </row>
    <row r="11" spans="1:4" x14ac:dyDescent="0.25">
      <c r="A11">
        <v>25</v>
      </c>
    </row>
    <row r="12" spans="1:4" x14ac:dyDescent="0.25">
      <c r="A12">
        <v>0</v>
      </c>
    </row>
    <row r="13" spans="1:4" x14ac:dyDescent="0.25">
      <c r="A13">
        <v>20</v>
      </c>
    </row>
    <row r="14" spans="1:4" x14ac:dyDescent="0.25">
      <c r="A14">
        <v>10</v>
      </c>
    </row>
    <row r="15" spans="1:4" x14ac:dyDescent="0.25">
      <c r="A15">
        <v>20</v>
      </c>
    </row>
    <row r="16" spans="1:4" x14ac:dyDescent="0.25">
      <c r="A16">
        <v>20</v>
      </c>
    </row>
    <row r="17" spans="1:1" x14ac:dyDescent="0.25">
      <c r="A17">
        <v>0</v>
      </c>
    </row>
    <row r="18" spans="1:1" x14ac:dyDescent="0.25">
      <c r="A18">
        <v>25</v>
      </c>
    </row>
    <row r="19" spans="1:1" x14ac:dyDescent="0.25">
      <c r="A19">
        <v>20</v>
      </c>
    </row>
    <row r="20" spans="1:1" x14ac:dyDescent="0.25">
      <c r="A20">
        <v>15</v>
      </c>
    </row>
    <row r="21" spans="1:1" x14ac:dyDescent="0.25">
      <c r="A21">
        <v>20</v>
      </c>
    </row>
    <row r="22" spans="1:1" x14ac:dyDescent="0.25">
      <c r="A22">
        <v>10</v>
      </c>
    </row>
    <row r="23" spans="1:1" x14ac:dyDescent="0.25">
      <c r="A23">
        <v>25</v>
      </c>
    </row>
    <row r="24" spans="1:1" x14ac:dyDescent="0.25">
      <c r="A24">
        <v>20</v>
      </c>
    </row>
    <row r="25" spans="1:1" x14ac:dyDescent="0.25">
      <c r="A25">
        <v>15</v>
      </c>
    </row>
    <row r="26" spans="1:1" x14ac:dyDescent="0.25">
      <c r="A26">
        <v>10</v>
      </c>
    </row>
    <row r="27" spans="1:1" x14ac:dyDescent="0.25">
      <c r="A27">
        <v>5</v>
      </c>
    </row>
    <row r="28" spans="1:1" x14ac:dyDescent="0.25">
      <c r="A28">
        <v>15</v>
      </c>
    </row>
    <row r="29" spans="1:1" x14ac:dyDescent="0.25">
      <c r="A29">
        <v>20</v>
      </c>
    </row>
    <row r="30" spans="1:1" x14ac:dyDescent="0.25">
      <c r="A30">
        <v>15</v>
      </c>
    </row>
    <row r="31" spans="1:1" x14ac:dyDescent="0.25">
      <c r="A31">
        <v>25</v>
      </c>
    </row>
    <row r="32" spans="1:1" x14ac:dyDescent="0.25">
      <c r="A32">
        <v>10</v>
      </c>
    </row>
    <row r="33" spans="1:1" x14ac:dyDescent="0.25">
      <c r="A33">
        <v>20</v>
      </c>
    </row>
    <row r="34" spans="1:1" x14ac:dyDescent="0.25">
      <c r="A34">
        <v>25</v>
      </c>
    </row>
    <row r="35" spans="1:1" x14ac:dyDescent="0.25">
      <c r="A35">
        <v>0</v>
      </c>
    </row>
    <row r="36" spans="1:1" x14ac:dyDescent="0.25">
      <c r="A36">
        <v>10</v>
      </c>
    </row>
    <row r="37" spans="1:1" x14ac:dyDescent="0.25">
      <c r="A37">
        <v>10</v>
      </c>
    </row>
    <row r="38" spans="1:1" x14ac:dyDescent="0.25">
      <c r="A38">
        <v>5</v>
      </c>
    </row>
    <row r="39" spans="1:1" x14ac:dyDescent="0.25">
      <c r="A39">
        <v>0</v>
      </c>
    </row>
    <row r="40" spans="1:1" x14ac:dyDescent="0.25">
      <c r="A40">
        <v>0</v>
      </c>
    </row>
    <row r="41" spans="1:1" x14ac:dyDescent="0.25">
      <c r="A41">
        <v>20</v>
      </c>
    </row>
    <row r="42" spans="1:1" x14ac:dyDescent="0.25">
      <c r="A42">
        <v>0</v>
      </c>
    </row>
    <row r="43" spans="1:1" x14ac:dyDescent="0.25">
      <c r="A43">
        <v>5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25</v>
      </c>
    </row>
    <row r="47" spans="1:1" x14ac:dyDescent="0.25">
      <c r="A47">
        <v>15</v>
      </c>
    </row>
    <row r="48" spans="1:1" x14ac:dyDescent="0.25">
      <c r="A48">
        <v>10</v>
      </c>
    </row>
    <row r="49" spans="1:1" x14ac:dyDescent="0.25">
      <c r="A49">
        <v>0</v>
      </c>
    </row>
    <row r="50" spans="1:1" x14ac:dyDescent="0.25">
      <c r="A50">
        <v>25</v>
      </c>
    </row>
    <row r="51" spans="1:1" x14ac:dyDescent="0.25">
      <c r="A51">
        <v>0</v>
      </c>
    </row>
    <row r="52" spans="1:1" x14ac:dyDescent="0.25">
      <c r="A52">
        <v>10</v>
      </c>
    </row>
    <row r="53" spans="1:1" x14ac:dyDescent="0.25">
      <c r="A53">
        <v>25</v>
      </c>
    </row>
    <row r="54" spans="1:1" x14ac:dyDescent="0.25">
      <c r="A54">
        <v>25</v>
      </c>
    </row>
    <row r="55" spans="1:1" x14ac:dyDescent="0.25">
      <c r="A55">
        <v>5</v>
      </c>
    </row>
    <row r="56" spans="1:1" x14ac:dyDescent="0.25">
      <c r="A56">
        <v>20</v>
      </c>
    </row>
    <row r="57" spans="1:1" x14ac:dyDescent="0.25">
      <c r="A57">
        <v>25</v>
      </c>
    </row>
    <row r="58" spans="1:1" x14ac:dyDescent="0.25">
      <c r="A58">
        <v>10</v>
      </c>
    </row>
    <row r="59" spans="1:1" x14ac:dyDescent="0.25">
      <c r="A59">
        <v>5</v>
      </c>
    </row>
    <row r="60" spans="1:1" x14ac:dyDescent="0.25">
      <c r="A60">
        <v>15</v>
      </c>
    </row>
    <row r="61" spans="1:1" x14ac:dyDescent="0.25">
      <c r="A61">
        <v>5</v>
      </c>
    </row>
    <row r="62" spans="1:1" x14ac:dyDescent="0.25">
      <c r="A62">
        <v>5</v>
      </c>
    </row>
    <row r="63" spans="1:1" x14ac:dyDescent="0.25">
      <c r="A63">
        <v>10</v>
      </c>
    </row>
    <row r="64" spans="1:1" x14ac:dyDescent="0.25">
      <c r="A64">
        <v>10</v>
      </c>
    </row>
    <row r="65" spans="1:1" x14ac:dyDescent="0.25">
      <c r="A65">
        <v>25</v>
      </c>
    </row>
    <row r="66" spans="1:1" x14ac:dyDescent="0.25">
      <c r="A66">
        <v>10</v>
      </c>
    </row>
    <row r="67" spans="1:1" x14ac:dyDescent="0.25">
      <c r="A67">
        <v>5</v>
      </c>
    </row>
    <row r="68" spans="1:1" x14ac:dyDescent="0.25">
      <c r="A68">
        <v>25</v>
      </c>
    </row>
    <row r="69" spans="1:1" x14ac:dyDescent="0.25">
      <c r="A69">
        <v>5</v>
      </c>
    </row>
    <row r="70" spans="1:1" x14ac:dyDescent="0.25">
      <c r="A70">
        <v>0</v>
      </c>
    </row>
    <row r="71" spans="1:1" x14ac:dyDescent="0.25">
      <c r="A71">
        <v>25</v>
      </c>
    </row>
    <row r="72" spans="1:1" x14ac:dyDescent="0.25">
      <c r="A72">
        <v>10</v>
      </c>
    </row>
    <row r="73" spans="1:1" x14ac:dyDescent="0.25">
      <c r="A73">
        <v>15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25</v>
      </c>
    </row>
    <row r="77" spans="1:1" x14ac:dyDescent="0.25">
      <c r="A77">
        <v>15</v>
      </c>
    </row>
    <row r="78" spans="1:1" x14ac:dyDescent="0.25">
      <c r="A78">
        <v>0</v>
      </c>
    </row>
    <row r="79" spans="1:1" x14ac:dyDescent="0.25">
      <c r="A79">
        <v>5</v>
      </c>
    </row>
    <row r="80" spans="1:1" x14ac:dyDescent="0.25">
      <c r="A80">
        <v>0</v>
      </c>
    </row>
    <row r="81" spans="1:1" x14ac:dyDescent="0.25">
      <c r="A81">
        <v>5</v>
      </c>
    </row>
    <row r="82" spans="1:1" x14ac:dyDescent="0.25">
      <c r="A82">
        <v>10</v>
      </c>
    </row>
    <row r="83" spans="1:1" x14ac:dyDescent="0.25">
      <c r="A83">
        <v>0</v>
      </c>
    </row>
    <row r="84" spans="1:1" x14ac:dyDescent="0.25">
      <c r="A84">
        <v>20</v>
      </c>
    </row>
    <row r="85" spans="1:1" x14ac:dyDescent="0.25">
      <c r="A85">
        <v>20</v>
      </c>
    </row>
    <row r="86" spans="1:1" x14ac:dyDescent="0.25">
      <c r="A86">
        <v>20</v>
      </c>
    </row>
    <row r="87" spans="1:1" x14ac:dyDescent="0.25">
      <c r="A87">
        <v>20</v>
      </c>
    </row>
    <row r="88" spans="1:1" x14ac:dyDescent="0.25">
      <c r="A88">
        <v>0</v>
      </c>
    </row>
    <row r="89" spans="1:1" x14ac:dyDescent="0.25">
      <c r="A89">
        <v>5</v>
      </c>
    </row>
    <row r="90" spans="1:1" x14ac:dyDescent="0.25">
      <c r="A90">
        <v>20</v>
      </c>
    </row>
    <row r="91" spans="1:1" x14ac:dyDescent="0.25">
      <c r="A91">
        <v>15</v>
      </c>
    </row>
    <row r="92" spans="1:1" x14ac:dyDescent="0.25">
      <c r="A92">
        <v>15</v>
      </c>
    </row>
    <row r="93" spans="1:1" x14ac:dyDescent="0.25">
      <c r="A93">
        <v>0</v>
      </c>
    </row>
    <row r="94" spans="1:1" x14ac:dyDescent="0.25">
      <c r="A94">
        <v>25</v>
      </c>
    </row>
    <row r="95" spans="1:1" x14ac:dyDescent="0.25">
      <c r="A95">
        <v>10</v>
      </c>
    </row>
    <row r="96" spans="1:1" x14ac:dyDescent="0.25">
      <c r="A96">
        <v>20</v>
      </c>
    </row>
    <row r="97" spans="1:1" x14ac:dyDescent="0.25">
      <c r="A97">
        <v>25</v>
      </c>
    </row>
    <row r="98" spans="1:1" x14ac:dyDescent="0.25">
      <c r="A98">
        <v>0</v>
      </c>
    </row>
    <row r="99" spans="1:1" x14ac:dyDescent="0.25">
      <c r="A99">
        <v>15</v>
      </c>
    </row>
    <row r="100" spans="1:1" x14ac:dyDescent="0.25">
      <c r="A100">
        <v>0</v>
      </c>
    </row>
    <row r="101" spans="1:1" x14ac:dyDescent="0.25">
      <c r="A101">
        <v>5</v>
      </c>
    </row>
    <row r="102" spans="1:1" x14ac:dyDescent="0.25">
      <c r="A102">
        <v>5</v>
      </c>
    </row>
    <row r="103" spans="1:1" x14ac:dyDescent="0.25">
      <c r="A103">
        <v>10</v>
      </c>
    </row>
    <row r="104" spans="1:1" x14ac:dyDescent="0.25">
      <c r="A104">
        <v>20</v>
      </c>
    </row>
    <row r="105" spans="1:1" x14ac:dyDescent="0.25">
      <c r="A105">
        <v>0</v>
      </c>
    </row>
    <row r="106" spans="1:1" x14ac:dyDescent="0.25">
      <c r="A106">
        <v>5</v>
      </c>
    </row>
    <row r="107" spans="1:1" x14ac:dyDescent="0.25">
      <c r="A107">
        <v>10</v>
      </c>
    </row>
    <row r="108" spans="1:1" x14ac:dyDescent="0.25">
      <c r="A108">
        <v>10</v>
      </c>
    </row>
    <row r="109" spans="1:1" x14ac:dyDescent="0.25">
      <c r="A109">
        <v>20</v>
      </c>
    </row>
    <row r="110" spans="1:1" x14ac:dyDescent="0.25">
      <c r="A110">
        <v>15</v>
      </c>
    </row>
    <row r="111" spans="1:1" x14ac:dyDescent="0.25">
      <c r="A111">
        <v>0</v>
      </c>
    </row>
    <row r="112" spans="1:1" x14ac:dyDescent="0.25">
      <c r="A112">
        <v>0</v>
      </c>
    </row>
    <row r="113" spans="1:1" x14ac:dyDescent="0.25">
      <c r="A113">
        <v>5</v>
      </c>
    </row>
    <row r="114" spans="1:1" x14ac:dyDescent="0.25">
      <c r="A114">
        <v>10</v>
      </c>
    </row>
    <row r="115" spans="1:1" x14ac:dyDescent="0.25">
      <c r="A115">
        <v>5</v>
      </c>
    </row>
    <row r="116" spans="1:1" x14ac:dyDescent="0.25">
      <c r="A116">
        <v>0</v>
      </c>
    </row>
    <row r="117" spans="1:1" x14ac:dyDescent="0.25">
      <c r="A117">
        <v>10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20</v>
      </c>
    </row>
    <row r="121" spans="1:1" x14ac:dyDescent="0.25">
      <c r="A121">
        <v>5</v>
      </c>
    </row>
    <row r="122" spans="1:1" x14ac:dyDescent="0.25">
      <c r="A122">
        <v>0</v>
      </c>
    </row>
    <row r="123" spans="1:1" x14ac:dyDescent="0.25">
      <c r="A123">
        <v>20</v>
      </c>
    </row>
    <row r="124" spans="1:1" x14ac:dyDescent="0.25">
      <c r="A124">
        <v>0</v>
      </c>
    </row>
    <row r="125" spans="1:1" x14ac:dyDescent="0.25">
      <c r="A125">
        <v>15</v>
      </c>
    </row>
    <row r="126" spans="1:1" x14ac:dyDescent="0.25">
      <c r="A126">
        <v>5</v>
      </c>
    </row>
    <row r="127" spans="1:1" x14ac:dyDescent="0.25">
      <c r="A127">
        <v>0</v>
      </c>
    </row>
    <row r="128" spans="1:1" x14ac:dyDescent="0.25">
      <c r="A128">
        <v>20</v>
      </c>
    </row>
    <row r="129" spans="1:1" x14ac:dyDescent="0.25">
      <c r="A129">
        <v>0</v>
      </c>
    </row>
    <row r="130" spans="1:1" x14ac:dyDescent="0.25">
      <c r="A130">
        <v>25</v>
      </c>
    </row>
    <row r="131" spans="1:1" x14ac:dyDescent="0.25">
      <c r="A131">
        <v>10</v>
      </c>
    </row>
    <row r="132" spans="1:1" x14ac:dyDescent="0.25">
      <c r="A132">
        <v>0</v>
      </c>
    </row>
    <row r="133" spans="1:1" x14ac:dyDescent="0.25">
      <c r="A133">
        <v>10</v>
      </c>
    </row>
    <row r="134" spans="1:1" x14ac:dyDescent="0.25">
      <c r="A134">
        <v>25</v>
      </c>
    </row>
    <row r="135" spans="1:1" x14ac:dyDescent="0.25">
      <c r="A135">
        <v>20</v>
      </c>
    </row>
    <row r="136" spans="1:1" x14ac:dyDescent="0.25">
      <c r="A136">
        <v>15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5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5</v>
      </c>
    </row>
    <row r="143" spans="1:1" x14ac:dyDescent="0.25">
      <c r="A143">
        <v>0</v>
      </c>
    </row>
    <row r="144" spans="1:1" x14ac:dyDescent="0.25">
      <c r="A144">
        <v>5</v>
      </c>
    </row>
    <row r="145" spans="1:1" x14ac:dyDescent="0.25">
      <c r="A145">
        <v>25</v>
      </c>
    </row>
    <row r="146" spans="1:1" x14ac:dyDescent="0.25">
      <c r="A146">
        <v>5</v>
      </c>
    </row>
    <row r="147" spans="1:1" x14ac:dyDescent="0.25">
      <c r="A147">
        <v>10</v>
      </c>
    </row>
    <row r="148" spans="1:1" x14ac:dyDescent="0.25">
      <c r="A148">
        <v>20</v>
      </c>
    </row>
    <row r="149" spans="1:1" x14ac:dyDescent="0.25">
      <c r="A149">
        <v>10</v>
      </c>
    </row>
    <row r="150" spans="1:1" x14ac:dyDescent="0.25">
      <c r="A150">
        <v>5</v>
      </c>
    </row>
    <row r="151" spans="1:1" x14ac:dyDescent="0.25">
      <c r="A151">
        <v>5</v>
      </c>
    </row>
    <row r="152" spans="1:1" x14ac:dyDescent="0.25">
      <c r="A152">
        <v>10</v>
      </c>
    </row>
    <row r="153" spans="1:1" x14ac:dyDescent="0.25">
      <c r="A153">
        <v>0</v>
      </c>
    </row>
    <row r="154" spans="1:1" x14ac:dyDescent="0.25">
      <c r="A154">
        <v>10</v>
      </c>
    </row>
    <row r="155" spans="1:1" x14ac:dyDescent="0.25">
      <c r="A155">
        <v>20</v>
      </c>
    </row>
    <row r="156" spans="1:1" x14ac:dyDescent="0.25">
      <c r="A156">
        <v>10</v>
      </c>
    </row>
    <row r="157" spans="1:1" x14ac:dyDescent="0.25">
      <c r="A157">
        <v>0</v>
      </c>
    </row>
    <row r="158" spans="1:1" x14ac:dyDescent="0.25">
      <c r="A158">
        <v>0</v>
      </c>
    </row>
    <row r="159" spans="1:1" x14ac:dyDescent="0.25">
      <c r="A159">
        <v>15</v>
      </c>
    </row>
    <row r="160" spans="1:1" x14ac:dyDescent="0.25">
      <c r="A160">
        <v>15</v>
      </c>
    </row>
    <row r="161" spans="1:1" x14ac:dyDescent="0.25">
      <c r="A161">
        <v>25</v>
      </c>
    </row>
    <row r="162" spans="1:1" x14ac:dyDescent="0.25">
      <c r="A162">
        <v>5</v>
      </c>
    </row>
    <row r="163" spans="1:1" x14ac:dyDescent="0.25">
      <c r="A163">
        <v>0</v>
      </c>
    </row>
    <row r="164" spans="1:1" x14ac:dyDescent="0.25">
      <c r="A164">
        <v>10</v>
      </c>
    </row>
    <row r="165" spans="1:1" x14ac:dyDescent="0.25">
      <c r="A165">
        <v>0</v>
      </c>
    </row>
    <row r="166" spans="1:1" x14ac:dyDescent="0.25">
      <c r="A166">
        <v>20</v>
      </c>
    </row>
    <row r="167" spans="1:1" x14ac:dyDescent="0.25">
      <c r="A167">
        <v>15</v>
      </c>
    </row>
    <row r="168" spans="1:1" x14ac:dyDescent="0.25">
      <c r="A168">
        <v>5</v>
      </c>
    </row>
    <row r="169" spans="1:1" x14ac:dyDescent="0.25">
      <c r="A169">
        <v>0</v>
      </c>
    </row>
    <row r="170" spans="1:1" x14ac:dyDescent="0.25">
      <c r="A170">
        <v>15</v>
      </c>
    </row>
    <row r="171" spans="1:1" x14ac:dyDescent="0.25">
      <c r="A171">
        <v>0</v>
      </c>
    </row>
    <row r="172" spans="1:1" x14ac:dyDescent="0.25">
      <c r="A172">
        <v>10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15</v>
      </c>
    </row>
    <row r="176" spans="1:1" x14ac:dyDescent="0.25">
      <c r="A176">
        <v>0</v>
      </c>
    </row>
    <row r="177" spans="1:1" x14ac:dyDescent="0.25">
      <c r="A177">
        <v>20</v>
      </c>
    </row>
    <row r="178" spans="1:1" x14ac:dyDescent="0.25">
      <c r="A178">
        <v>25</v>
      </c>
    </row>
    <row r="179" spans="1:1" x14ac:dyDescent="0.25">
      <c r="A179">
        <v>20</v>
      </c>
    </row>
    <row r="180" spans="1:1" x14ac:dyDescent="0.25">
      <c r="A180">
        <v>5</v>
      </c>
    </row>
    <row r="181" spans="1:1" x14ac:dyDescent="0.25">
      <c r="A181">
        <v>25</v>
      </c>
    </row>
    <row r="182" spans="1:1" x14ac:dyDescent="0.25">
      <c r="A182">
        <v>5</v>
      </c>
    </row>
    <row r="183" spans="1:1" x14ac:dyDescent="0.25">
      <c r="A183">
        <v>20</v>
      </c>
    </row>
    <row r="184" spans="1:1" x14ac:dyDescent="0.25">
      <c r="A184">
        <v>10</v>
      </c>
    </row>
    <row r="185" spans="1:1" x14ac:dyDescent="0.25">
      <c r="A185">
        <v>20</v>
      </c>
    </row>
    <row r="186" spans="1:1" x14ac:dyDescent="0.25">
      <c r="A186">
        <v>15</v>
      </c>
    </row>
    <row r="187" spans="1:1" x14ac:dyDescent="0.25">
      <c r="A187">
        <v>0</v>
      </c>
    </row>
    <row r="188" spans="1:1" x14ac:dyDescent="0.25">
      <c r="A188">
        <v>25</v>
      </c>
    </row>
    <row r="189" spans="1:1" x14ac:dyDescent="0.25">
      <c r="A189">
        <v>5</v>
      </c>
    </row>
    <row r="190" spans="1:1" x14ac:dyDescent="0.25">
      <c r="A190">
        <v>25</v>
      </c>
    </row>
    <row r="191" spans="1:1" x14ac:dyDescent="0.25">
      <c r="A191">
        <v>25</v>
      </c>
    </row>
    <row r="192" spans="1:1" x14ac:dyDescent="0.25">
      <c r="A192">
        <v>15</v>
      </c>
    </row>
    <row r="193" spans="1:1" x14ac:dyDescent="0.25">
      <c r="A193">
        <v>0</v>
      </c>
    </row>
    <row r="194" spans="1:1" x14ac:dyDescent="0.25">
      <c r="A194">
        <v>15</v>
      </c>
    </row>
    <row r="195" spans="1:1" x14ac:dyDescent="0.25">
      <c r="A195">
        <v>0</v>
      </c>
    </row>
    <row r="196" spans="1:1" x14ac:dyDescent="0.25">
      <c r="A196">
        <v>5</v>
      </c>
    </row>
    <row r="197" spans="1:1" x14ac:dyDescent="0.25">
      <c r="A197">
        <v>25</v>
      </c>
    </row>
    <row r="198" spans="1:1" x14ac:dyDescent="0.25">
      <c r="A198">
        <v>15</v>
      </c>
    </row>
    <row r="199" spans="1:1" x14ac:dyDescent="0.25">
      <c r="A199">
        <v>25</v>
      </c>
    </row>
    <row r="200" spans="1:1" x14ac:dyDescent="0.25">
      <c r="A200">
        <v>0</v>
      </c>
    </row>
    <row r="201" spans="1:1" x14ac:dyDescent="0.25">
      <c r="A201">
        <v>5</v>
      </c>
    </row>
    <row r="202" spans="1:1" x14ac:dyDescent="0.25">
      <c r="A202">
        <v>0</v>
      </c>
    </row>
    <row r="203" spans="1:1" x14ac:dyDescent="0.25">
      <c r="A203">
        <v>10</v>
      </c>
    </row>
    <row r="204" spans="1:1" x14ac:dyDescent="0.25">
      <c r="A204">
        <v>25</v>
      </c>
    </row>
    <row r="205" spans="1:1" x14ac:dyDescent="0.25">
      <c r="A205">
        <v>5</v>
      </c>
    </row>
    <row r="206" spans="1:1" x14ac:dyDescent="0.25">
      <c r="A206">
        <v>15</v>
      </c>
    </row>
    <row r="207" spans="1:1" x14ac:dyDescent="0.25">
      <c r="A207">
        <v>20</v>
      </c>
    </row>
    <row r="208" spans="1:1" x14ac:dyDescent="0.25">
      <c r="A208">
        <v>0</v>
      </c>
    </row>
    <row r="209" spans="1:1" x14ac:dyDescent="0.25">
      <c r="A209">
        <v>15</v>
      </c>
    </row>
    <row r="210" spans="1:1" x14ac:dyDescent="0.25">
      <c r="A210">
        <v>20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15</v>
      </c>
    </row>
    <row r="214" spans="1:1" x14ac:dyDescent="0.25">
      <c r="A214">
        <v>10</v>
      </c>
    </row>
    <row r="215" spans="1:1" x14ac:dyDescent="0.25">
      <c r="A215">
        <v>0</v>
      </c>
    </row>
    <row r="216" spans="1:1" x14ac:dyDescent="0.25">
      <c r="A216">
        <v>25</v>
      </c>
    </row>
    <row r="217" spans="1:1" x14ac:dyDescent="0.25">
      <c r="A217">
        <v>5</v>
      </c>
    </row>
    <row r="218" spans="1:1" x14ac:dyDescent="0.25">
      <c r="A218">
        <v>10</v>
      </c>
    </row>
    <row r="219" spans="1:1" x14ac:dyDescent="0.25">
      <c r="A219">
        <v>20</v>
      </c>
    </row>
    <row r="220" spans="1:1" x14ac:dyDescent="0.25">
      <c r="A220">
        <v>15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25</v>
      </c>
    </row>
    <row r="224" spans="1:1" x14ac:dyDescent="0.25">
      <c r="A224">
        <v>5</v>
      </c>
    </row>
    <row r="225" spans="1:1" x14ac:dyDescent="0.25">
      <c r="A225">
        <v>0</v>
      </c>
    </row>
    <row r="226" spans="1:1" x14ac:dyDescent="0.25">
      <c r="A226">
        <v>25</v>
      </c>
    </row>
    <row r="227" spans="1:1" x14ac:dyDescent="0.25">
      <c r="A227">
        <v>15</v>
      </c>
    </row>
    <row r="228" spans="1:1" x14ac:dyDescent="0.25">
      <c r="A228">
        <v>0</v>
      </c>
    </row>
    <row r="229" spans="1:1" x14ac:dyDescent="0.25">
      <c r="A229">
        <v>25</v>
      </c>
    </row>
    <row r="230" spans="1:1" x14ac:dyDescent="0.25">
      <c r="A230">
        <v>20</v>
      </c>
    </row>
    <row r="231" spans="1:1" x14ac:dyDescent="0.25">
      <c r="A231">
        <v>25</v>
      </c>
    </row>
    <row r="232" spans="1:1" x14ac:dyDescent="0.25">
      <c r="A232">
        <v>0</v>
      </c>
    </row>
    <row r="233" spans="1:1" x14ac:dyDescent="0.25">
      <c r="A233">
        <v>10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15</v>
      </c>
    </row>
    <row r="237" spans="1:1" x14ac:dyDescent="0.25">
      <c r="A237">
        <v>25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20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20</v>
      </c>
    </row>
    <row r="245" spans="1:1" x14ac:dyDescent="0.25">
      <c r="A245">
        <v>5</v>
      </c>
    </row>
    <row r="246" spans="1:1" x14ac:dyDescent="0.25">
      <c r="A246">
        <v>0</v>
      </c>
    </row>
    <row r="247" spans="1:1" x14ac:dyDescent="0.25">
      <c r="A247">
        <v>20</v>
      </c>
    </row>
    <row r="248" spans="1:1" x14ac:dyDescent="0.25">
      <c r="A248">
        <v>25</v>
      </c>
    </row>
    <row r="249" spans="1:1" x14ac:dyDescent="0.25">
      <c r="A249">
        <v>0</v>
      </c>
    </row>
    <row r="250" spans="1:1" x14ac:dyDescent="0.25">
      <c r="A250">
        <v>0</v>
      </c>
    </row>
    <row r="251" spans="1:1" x14ac:dyDescent="0.25">
      <c r="A251">
        <v>10</v>
      </c>
    </row>
    <row r="252" spans="1:1" x14ac:dyDescent="0.25">
      <c r="A252">
        <v>25</v>
      </c>
    </row>
    <row r="253" spans="1:1" x14ac:dyDescent="0.25">
      <c r="A253">
        <v>25</v>
      </c>
    </row>
    <row r="254" spans="1:1" x14ac:dyDescent="0.25">
      <c r="A254">
        <v>10</v>
      </c>
    </row>
    <row r="255" spans="1:1" x14ac:dyDescent="0.25">
      <c r="A255">
        <v>5</v>
      </c>
    </row>
    <row r="256" spans="1:1" x14ac:dyDescent="0.25">
      <c r="A256">
        <v>0</v>
      </c>
    </row>
    <row r="257" spans="1:1" x14ac:dyDescent="0.25">
      <c r="A257">
        <v>10</v>
      </c>
    </row>
    <row r="258" spans="1:1" x14ac:dyDescent="0.25">
      <c r="A258">
        <v>0</v>
      </c>
    </row>
    <row r="259" spans="1:1" x14ac:dyDescent="0.25">
      <c r="A259">
        <v>10</v>
      </c>
    </row>
    <row r="260" spans="1:1" x14ac:dyDescent="0.25">
      <c r="A260">
        <v>10</v>
      </c>
    </row>
    <row r="261" spans="1:1" x14ac:dyDescent="0.25">
      <c r="A261">
        <v>15</v>
      </c>
    </row>
    <row r="262" spans="1:1" x14ac:dyDescent="0.25">
      <c r="A262">
        <v>10</v>
      </c>
    </row>
    <row r="263" spans="1:1" x14ac:dyDescent="0.25">
      <c r="A263">
        <v>20</v>
      </c>
    </row>
    <row r="264" spans="1:1" x14ac:dyDescent="0.25">
      <c r="A264">
        <v>20</v>
      </c>
    </row>
    <row r="265" spans="1:1" x14ac:dyDescent="0.25">
      <c r="A265">
        <v>25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15</v>
      </c>
    </row>
    <row r="269" spans="1:1" x14ac:dyDescent="0.25">
      <c r="A269">
        <v>5</v>
      </c>
    </row>
    <row r="270" spans="1:1" x14ac:dyDescent="0.25">
      <c r="A270">
        <v>25</v>
      </c>
    </row>
    <row r="271" spans="1:1" x14ac:dyDescent="0.25">
      <c r="A271">
        <v>20</v>
      </c>
    </row>
    <row r="272" spans="1:1" x14ac:dyDescent="0.25">
      <c r="A272">
        <v>0</v>
      </c>
    </row>
    <row r="273" spans="1:1" x14ac:dyDescent="0.25">
      <c r="A273">
        <v>0</v>
      </c>
    </row>
    <row r="274" spans="1:1" x14ac:dyDescent="0.25">
      <c r="A274">
        <v>5</v>
      </c>
    </row>
    <row r="275" spans="1:1" x14ac:dyDescent="0.25">
      <c r="A275">
        <v>0</v>
      </c>
    </row>
    <row r="276" spans="1:1" x14ac:dyDescent="0.25">
      <c r="A276">
        <v>10</v>
      </c>
    </row>
    <row r="277" spans="1:1" x14ac:dyDescent="0.25">
      <c r="A277">
        <v>25</v>
      </c>
    </row>
    <row r="278" spans="1:1" x14ac:dyDescent="0.25">
      <c r="A278">
        <v>5</v>
      </c>
    </row>
    <row r="279" spans="1:1" x14ac:dyDescent="0.25">
      <c r="A279">
        <v>15</v>
      </c>
    </row>
    <row r="280" spans="1:1" x14ac:dyDescent="0.25">
      <c r="A280">
        <v>10</v>
      </c>
    </row>
    <row r="281" spans="1:1" x14ac:dyDescent="0.25">
      <c r="A281">
        <v>0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15</v>
      </c>
    </row>
    <row r="285" spans="1:1" x14ac:dyDescent="0.25">
      <c r="A285">
        <v>15</v>
      </c>
    </row>
    <row r="286" spans="1:1" x14ac:dyDescent="0.25">
      <c r="A286">
        <v>0</v>
      </c>
    </row>
    <row r="287" spans="1:1" x14ac:dyDescent="0.25">
      <c r="A287">
        <v>20</v>
      </c>
    </row>
    <row r="288" spans="1:1" x14ac:dyDescent="0.25">
      <c r="A288">
        <v>15</v>
      </c>
    </row>
    <row r="289" spans="1:1" x14ac:dyDescent="0.25">
      <c r="A289">
        <v>0</v>
      </c>
    </row>
    <row r="290" spans="1:1" x14ac:dyDescent="0.25">
      <c r="A290">
        <v>20</v>
      </c>
    </row>
    <row r="291" spans="1:1" x14ac:dyDescent="0.25">
      <c r="A291">
        <v>15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20</v>
      </c>
    </row>
    <row r="295" spans="1:1" x14ac:dyDescent="0.25">
      <c r="A295">
        <v>0</v>
      </c>
    </row>
    <row r="296" spans="1:1" x14ac:dyDescent="0.25">
      <c r="A296">
        <v>25</v>
      </c>
    </row>
    <row r="297" spans="1:1" x14ac:dyDescent="0.25">
      <c r="A297">
        <v>25</v>
      </c>
    </row>
    <row r="298" spans="1:1" x14ac:dyDescent="0.25">
      <c r="A298">
        <v>5</v>
      </c>
    </row>
    <row r="299" spans="1:1" x14ac:dyDescent="0.25">
      <c r="A299">
        <v>5</v>
      </c>
    </row>
    <row r="300" spans="1:1" x14ac:dyDescent="0.25">
      <c r="A300">
        <v>5</v>
      </c>
    </row>
    <row r="301" spans="1:1" x14ac:dyDescent="0.25">
      <c r="A30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D744C-B4C2-4D87-931B-3E09B9062A99}">
  <dimension ref="A3:B10"/>
  <sheetViews>
    <sheetView workbookViewId="0">
      <selection activeCell="D20" sqref="D20"/>
    </sheetView>
  </sheetViews>
  <sheetFormatPr defaultRowHeight="15" x14ac:dyDescent="0.25"/>
  <cols>
    <col min="1" max="1" width="12.85546875" bestFit="1" customWidth="1"/>
    <col min="2" max="2" width="19.5703125" bestFit="1" customWidth="1"/>
  </cols>
  <sheetData>
    <row r="3" spans="1:2" x14ac:dyDescent="0.25">
      <c r="A3" s="4" t="s">
        <v>3</v>
      </c>
      <c r="B3" t="s">
        <v>1223</v>
      </c>
    </row>
    <row r="4" spans="1:2" x14ac:dyDescent="0.25">
      <c r="A4" t="s">
        <v>328</v>
      </c>
      <c r="B4" s="5">
        <v>32</v>
      </c>
    </row>
    <row r="5" spans="1:2" x14ac:dyDescent="0.25">
      <c r="A5" t="s">
        <v>326</v>
      </c>
      <c r="B5" s="5">
        <v>44</v>
      </c>
    </row>
    <row r="6" spans="1:2" x14ac:dyDescent="0.25">
      <c r="A6" t="s">
        <v>330</v>
      </c>
      <c r="B6" s="5">
        <v>40</v>
      </c>
    </row>
    <row r="7" spans="1:2" x14ac:dyDescent="0.25">
      <c r="A7" t="s">
        <v>329</v>
      </c>
      <c r="B7" s="5">
        <v>42</v>
      </c>
    </row>
    <row r="8" spans="1:2" x14ac:dyDescent="0.25">
      <c r="A8" t="s">
        <v>331</v>
      </c>
      <c r="B8" s="5">
        <v>50</v>
      </c>
    </row>
    <row r="9" spans="1:2" x14ac:dyDescent="0.25">
      <c r="A9" t="s">
        <v>327</v>
      </c>
      <c r="B9" s="5">
        <v>57</v>
      </c>
    </row>
    <row r="10" spans="1:2" x14ac:dyDescent="0.25">
      <c r="A10" t="s">
        <v>332</v>
      </c>
      <c r="B10" s="5">
        <v>35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E70B-98B1-4649-8C5C-4DFE1CE8E833}">
  <dimension ref="A1:B301"/>
  <sheetViews>
    <sheetView workbookViewId="0">
      <selection activeCell="I3" sqref="I3"/>
    </sheetView>
  </sheetViews>
  <sheetFormatPr defaultRowHeight="15" x14ac:dyDescent="0.25"/>
  <cols>
    <col min="1" max="1" width="12.28515625" bestFit="1" customWidth="1"/>
    <col min="2" max="2" width="10.5703125" bestFit="1" customWidth="1"/>
  </cols>
  <sheetData>
    <row r="1" spans="1:2" x14ac:dyDescent="0.25">
      <c r="A1" s="1" t="s">
        <v>7</v>
      </c>
      <c r="B1" s="1" t="s">
        <v>1219</v>
      </c>
    </row>
    <row r="2" spans="1:2" x14ac:dyDescent="0.25">
      <c r="A2">
        <v>220.3</v>
      </c>
      <c r="B2" s="2">
        <v>6999.79</v>
      </c>
    </row>
    <row r="3" spans="1:2" x14ac:dyDescent="0.25">
      <c r="A3">
        <v>102</v>
      </c>
      <c r="B3" s="2">
        <v>3789.36</v>
      </c>
    </row>
    <row r="4" spans="1:2" x14ac:dyDescent="0.25">
      <c r="A4">
        <v>81.7</v>
      </c>
      <c r="B4" s="2">
        <v>2714.6000000000004</v>
      </c>
    </row>
    <row r="5" spans="1:2" x14ac:dyDescent="0.25">
      <c r="A5">
        <v>30.3</v>
      </c>
      <c r="B5" s="2">
        <v>1337.91</v>
      </c>
    </row>
    <row r="6" spans="1:2" x14ac:dyDescent="0.25">
      <c r="A6">
        <v>93</v>
      </c>
      <c r="B6" s="2">
        <v>3645.32</v>
      </c>
    </row>
    <row r="7" spans="1:2" x14ac:dyDescent="0.25">
      <c r="A7">
        <v>19.100000000000001</v>
      </c>
      <c r="B7" s="2">
        <v>878.09</v>
      </c>
    </row>
    <row r="8" spans="1:2" x14ac:dyDescent="0.25">
      <c r="A8">
        <v>229</v>
      </c>
      <c r="B8" s="2">
        <v>8836.2999999999993</v>
      </c>
    </row>
    <row r="9" spans="1:2" x14ac:dyDescent="0.25">
      <c r="A9">
        <v>90</v>
      </c>
      <c r="B9" s="2">
        <v>3260.29</v>
      </c>
    </row>
    <row r="10" spans="1:2" x14ac:dyDescent="0.25">
      <c r="A10">
        <v>145.30000000000001</v>
      </c>
      <c r="B10" s="2">
        <v>5451.36</v>
      </c>
    </row>
    <row r="11" spans="1:2" x14ac:dyDescent="0.25">
      <c r="A11">
        <v>227.3</v>
      </c>
      <c r="B11" s="2">
        <v>8190.89</v>
      </c>
    </row>
    <row r="12" spans="1:2" x14ac:dyDescent="0.25">
      <c r="A12">
        <v>61.4</v>
      </c>
      <c r="B12" s="2">
        <v>1983.32</v>
      </c>
    </row>
    <row r="13" spans="1:2" x14ac:dyDescent="0.25">
      <c r="A13">
        <v>119</v>
      </c>
      <c r="B13" s="2">
        <v>4304.58</v>
      </c>
    </row>
    <row r="14" spans="1:2" x14ac:dyDescent="0.25">
      <c r="A14">
        <v>145.5</v>
      </c>
      <c r="B14" s="2">
        <v>5354.41</v>
      </c>
    </row>
    <row r="15" spans="1:2" x14ac:dyDescent="0.25">
      <c r="A15">
        <v>28.6</v>
      </c>
      <c r="B15" s="2">
        <v>1030.44</v>
      </c>
    </row>
    <row r="16" spans="1:2" x14ac:dyDescent="0.25">
      <c r="A16">
        <v>107.4</v>
      </c>
      <c r="B16" s="2">
        <v>3950.02</v>
      </c>
    </row>
    <row r="17" spans="1:2" x14ac:dyDescent="0.25">
      <c r="A17">
        <v>201.6</v>
      </c>
      <c r="B17" s="2">
        <v>6418.09</v>
      </c>
    </row>
    <row r="18" spans="1:2" x14ac:dyDescent="0.25">
      <c r="A18">
        <v>143</v>
      </c>
      <c r="B18" s="2">
        <v>4999.8500000000004</v>
      </c>
    </row>
    <row r="19" spans="1:2" x14ac:dyDescent="0.25">
      <c r="A19">
        <v>130.1</v>
      </c>
      <c r="B19" s="2">
        <v>5925.03</v>
      </c>
    </row>
    <row r="20" spans="1:2" x14ac:dyDescent="0.25">
      <c r="A20">
        <v>237.1</v>
      </c>
      <c r="B20" s="2">
        <v>10146.51</v>
      </c>
    </row>
    <row r="21" spans="1:2" x14ac:dyDescent="0.25">
      <c r="A21">
        <v>21.8</v>
      </c>
      <c r="B21" s="2">
        <v>767.29</v>
      </c>
    </row>
    <row r="22" spans="1:2" x14ac:dyDescent="0.25">
      <c r="A22">
        <v>92.9</v>
      </c>
      <c r="B22" s="2">
        <v>3409.8700000000003</v>
      </c>
    </row>
    <row r="23" spans="1:2" x14ac:dyDescent="0.25">
      <c r="A23">
        <v>148.69999999999999</v>
      </c>
      <c r="B23" s="2">
        <v>4600.97</v>
      </c>
    </row>
    <row r="24" spans="1:2" x14ac:dyDescent="0.25">
      <c r="A24">
        <v>138.30000000000001</v>
      </c>
      <c r="B24" s="2">
        <v>4670.22</v>
      </c>
    </row>
    <row r="25" spans="1:2" x14ac:dyDescent="0.25">
      <c r="A25">
        <v>159</v>
      </c>
      <c r="B25" s="2">
        <v>6055.22</v>
      </c>
    </row>
    <row r="26" spans="1:2" x14ac:dyDescent="0.25">
      <c r="A26">
        <v>87.3</v>
      </c>
      <c r="B26" s="2">
        <v>2778.31</v>
      </c>
    </row>
    <row r="27" spans="1:2" x14ac:dyDescent="0.25">
      <c r="A27">
        <v>242.4</v>
      </c>
      <c r="B27" s="2">
        <v>10647.88</v>
      </c>
    </row>
    <row r="28" spans="1:2" x14ac:dyDescent="0.25">
      <c r="A28">
        <v>15.6</v>
      </c>
      <c r="B28" s="2">
        <v>684.19</v>
      </c>
    </row>
    <row r="29" spans="1:2" x14ac:dyDescent="0.25">
      <c r="A29">
        <v>234.6</v>
      </c>
      <c r="B29" s="2">
        <v>10736.519999999999</v>
      </c>
    </row>
    <row r="30" spans="1:2" x14ac:dyDescent="0.25">
      <c r="A30">
        <v>36.799999999999997</v>
      </c>
      <c r="B30" s="2">
        <v>1168.9399999999998</v>
      </c>
    </row>
    <row r="31" spans="1:2" x14ac:dyDescent="0.25">
      <c r="A31">
        <v>93.8</v>
      </c>
      <c r="B31" s="2">
        <v>3645.32</v>
      </c>
    </row>
    <row r="32" spans="1:2" x14ac:dyDescent="0.25">
      <c r="A32">
        <v>33.299999999999997</v>
      </c>
      <c r="B32" s="2">
        <v>1340.68</v>
      </c>
    </row>
    <row r="33" spans="1:2" x14ac:dyDescent="0.25">
      <c r="A33">
        <v>209.4</v>
      </c>
      <c r="B33" s="2">
        <v>7376.5099999999993</v>
      </c>
    </row>
    <row r="34" spans="1:2" x14ac:dyDescent="0.25">
      <c r="A34">
        <v>124</v>
      </c>
      <c r="B34" s="2">
        <v>5174.3599999999997</v>
      </c>
    </row>
    <row r="35" spans="1:2" x14ac:dyDescent="0.25">
      <c r="A35">
        <v>119.3</v>
      </c>
      <c r="B35" s="2">
        <v>5210.37</v>
      </c>
    </row>
    <row r="36" spans="1:2" x14ac:dyDescent="0.25">
      <c r="A36">
        <v>88.1</v>
      </c>
      <c r="B36" s="2">
        <v>2916.81</v>
      </c>
    </row>
    <row r="37" spans="1:2" x14ac:dyDescent="0.25">
      <c r="A37">
        <v>186</v>
      </c>
      <c r="B37" s="2">
        <v>7645.2000000000007</v>
      </c>
    </row>
    <row r="38" spans="1:2" x14ac:dyDescent="0.25">
      <c r="A38">
        <v>84.6</v>
      </c>
      <c r="B38" s="2">
        <v>3099.6299999999997</v>
      </c>
    </row>
    <row r="39" spans="1:2" x14ac:dyDescent="0.25">
      <c r="A39">
        <v>194</v>
      </c>
      <c r="B39" s="2">
        <v>6985.94</v>
      </c>
    </row>
    <row r="40" spans="1:2" x14ac:dyDescent="0.25">
      <c r="A40">
        <v>227.2</v>
      </c>
      <c r="B40" s="2">
        <v>8118.87</v>
      </c>
    </row>
    <row r="41" spans="1:2" x14ac:dyDescent="0.25">
      <c r="A41">
        <v>173</v>
      </c>
      <c r="B41" s="2">
        <v>5999.82</v>
      </c>
    </row>
    <row r="42" spans="1:2" x14ac:dyDescent="0.25">
      <c r="A42">
        <v>25.7</v>
      </c>
      <c r="B42" s="2">
        <v>817.15000000000009</v>
      </c>
    </row>
    <row r="43" spans="1:2" x14ac:dyDescent="0.25">
      <c r="A43">
        <v>144.4</v>
      </c>
      <c r="B43" s="2">
        <v>5672.96</v>
      </c>
    </row>
    <row r="44" spans="1:2" x14ac:dyDescent="0.25">
      <c r="A44">
        <v>223.8</v>
      </c>
      <c r="B44" s="2">
        <v>7714.4500000000007</v>
      </c>
    </row>
    <row r="45" spans="1:2" x14ac:dyDescent="0.25">
      <c r="A45">
        <v>120.9</v>
      </c>
      <c r="B45" s="2">
        <v>4002.6499999999996</v>
      </c>
    </row>
    <row r="46" spans="1:2" x14ac:dyDescent="0.25">
      <c r="A46">
        <v>164.1</v>
      </c>
      <c r="B46" s="2">
        <v>5179.8999999999996</v>
      </c>
    </row>
    <row r="47" spans="1:2" x14ac:dyDescent="0.25">
      <c r="A47">
        <v>142.69999999999999</v>
      </c>
      <c r="B47" s="2">
        <v>6587.06</v>
      </c>
    </row>
    <row r="48" spans="1:2" x14ac:dyDescent="0.25">
      <c r="A48">
        <v>179.2</v>
      </c>
      <c r="B48" s="2">
        <v>6290.67</v>
      </c>
    </row>
    <row r="49" spans="1:2" x14ac:dyDescent="0.25">
      <c r="A49">
        <v>30.7</v>
      </c>
      <c r="B49" s="2">
        <v>991.66</v>
      </c>
    </row>
    <row r="50" spans="1:2" x14ac:dyDescent="0.25">
      <c r="A50">
        <v>92.2</v>
      </c>
      <c r="B50" s="2">
        <v>3227.05</v>
      </c>
    </row>
    <row r="51" spans="1:2" x14ac:dyDescent="0.25">
      <c r="A51">
        <v>97.4</v>
      </c>
      <c r="B51" s="2">
        <v>3268.6000000000004</v>
      </c>
    </row>
    <row r="52" spans="1:2" x14ac:dyDescent="0.25">
      <c r="A52">
        <v>93.3</v>
      </c>
      <c r="B52" s="2">
        <v>3739.5</v>
      </c>
    </row>
    <row r="53" spans="1:2" x14ac:dyDescent="0.25">
      <c r="A53">
        <v>88.4</v>
      </c>
      <c r="B53" s="2">
        <v>2991.6000000000004</v>
      </c>
    </row>
    <row r="54" spans="1:2" x14ac:dyDescent="0.25">
      <c r="A54">
        <v>85.8</v>
      </c>
      <c r="B54" s="2">
        <v>3013.76</v>
      </c>
    </row>
    <row r="55" spans="1:2" x14ac:dyDescent="0.25">
      <c r="A55">
        <v>94.6</v>
      </c>
      <c r="B55" s="2">
        <v>4044.2</v>
      </c>
    </row>
    <row r="56" spans="1:2" x14ac:dyDescent="0.25">
      <c r="A56">
        <v>234.6</v>
      </c>
      <c r="B56" s="2">
        <v>9246.26</v>
      </c>
    </row>
    <row r="57" spans="1:2" x14ac:dyDescent="0.25">
      <c r="A57">
        <v>153.1</v>
      </c>
      <c r="B57" s="2">
        <v>5656.34</v>
      </c>
    </row>
    <row r="58" spans="1:2" x14ac:dyDescent="0.25">
      <c r="A58">
        <v>124.1</v>
      </c>
      <c r="B58" s="2">
        <v>5625.87</v>
      </c>
    </row>
    <row r="59" spans="1:2" x14ac:dyDescent="0.25">
      <c r="A59">
        <v>42.7</v>
      </c>
      <c r="B59" s="2">
        <v>1529.04</v>
      </c>
    </row>
    <row r="60" spans="1:2" x14ac:dyDescent="0.25">
      <c r="A60">
        <v>50.7</v>
      </c>
      <c r="B60" s="2">
        <v>1997.17</v>
      </c>
    </row>
    <row r="61" spans="1:2" x14ac:dyDescent="0.25">
      <c r="A61">
        <v>64.7</v>
      </c>
      <c r="B61" s="2">
        <v>2853.1000000000004</v>
      </c>
    </row>
    <row r="62" spans="1:2" x14ac:dyDescent="0.25">
      <c r="A62">
        <v>239.2</v>
      </c>
      <c r="B62" s="2">
        <v>8071.78</v>
      </c>
    </row>
    <row r="63" spans="1:2" x14ac:dyDescent="0.25">
      <c r="A63">
        <v>146</v>
      </c>
      <c r="B63" s="2">
        <v>5961.04</v>
      </c>
    </row>
    <row r="64" spans="1:2" x14ac:dyDescent="0.25">
      <c r="A64">
        <v>214.1</v>
      </c>
      <c r="B64" s="2">
        <v>8398.64</v>
      </c>
    </row>
    <row r="65" spans="1:2" x14ac:dyDescent="0.25">
      <c r="A65">
        <v>197.6</v>
      </c>
      <c r="B65" s="2">
        <v>9121.61</v>
      </c>
    </row>
    <row r="66" spans="1:2" x14ac:dyDescent="0.25">
      <c r="A66">
        <v>119.8</v>
      </c>
      <c r="B66" s="2">
        <v>4263.03</v>
      </c>
    </row>
    <row r="67" spans="1:2" x14ac:dyDescent="0.25">
      <c r="A67">
        <v>186.5</v>
      </c>
      <c r="B67" s="2">
        <v>7340.5</v>
      </c>
    </row>
    <row r="68" spans="1:2" x14ac:dyDescent="0.25">
      <c r="A68">
        <v>44.2</v>
      </c>
      <c r="B68" s="2">
        <v>1999.9399999999998</v>
      </c>
    </row>
    <row r="69" spans="1:2" x14ac:dyDescent="0.25">
      <c r="A69">
        <v>175</v>
      </c>
      <c r="B69" s="2">
        <v>6545.5099999999993</v>
      </c>
    </row>
    <row r="70" spans="1:2" x14ac:dyDescent="0.25">
      <c r="A70">
        <v>224.1</v>
      </c>
      <c r="B70" s="2">
        <v>8099.48</v>
      </c>
    </row>
    <row r="71" spans="1:2" x14ac:dyDescent="0.25">
      <c r="A71">
        <v>36.700000000000003</v>
      </c>
      <c r="B71" s="2">
        <v>1667.54</v>
      </c>
    </row>
    <row r="72" spans="1:2" x14ac:dyDescent="0.25">
      <c r="A72">
        <v>208.7</v>
      </c>
      <c r="B72" s="2">
        <v>8772.59</v>
      </c>
    </row>
    <row r="73" spans="1:2" x14ac:dyDescent="0.25">
      <c r="A73">
        <v>208.1</v>
      </c>
      <c r="B73" s="2">
        <v>8850.15</v>
      </c>
    </row>
    <row r="74" spans="1:2" x14ac:dyDescent="0.25">
      <c r="A74">
        <v>221.3</v>
      </c>
      <c r="B74" s="2">
        <v>8232.44</v>
      </c>
    </row>
    <row r="75" spans="1:2" x14ac:dyDescent="0.25">
      <c r="A75">
        <v>110</v>
      </c>
      <c r="B75" s="2">
        <v>4382.1400000000003</v>
      </c>
    </row>
    <row r="76" spans="1:2" x14ac:dyDescent="0.25">
      <c r="A76">
        <v>230</v>
      </c>
      <c r="B76" s="2">
        <v>9437.39</v>
      </c>
    </row>
    <row r="77" spans="1:2" x14ac:dyDescent="0.25">
      <c r="A77">
        <v>173.8</v>
      </c>
      <c r="B77" s="2">
        <v>5443.0499999999993</v>
      </c>
    </row>
    <row r="78" spans="1:2" x14ac:dyDescent="0.25">
      <c r="A78">
        <v>198.9</v>
      </c>
      <c r="B78" s="2">
        <v>6805.89</v>
      </c>
    </row>
    <row r="79" spans="1:2" x14ac:dyDescent="0.25">
      <c r="A79">
        <v>212.8</v>
      </c>
      <c r="B79" s="2">
        <v>9586.9699999999993</v>
      </c>
    </row>
    <row r="80" spans="1:2" x14ac:dyDescent="0.25">
      <c r="A80">
        <v>233.4</v>
      </c>
      <c r="B80" s="2">
        <v>9321.0499999999993</v>
      </c>
    </row>
    <row r="81" spans="1:2" x14ac:dyDescent="0.25">
      <c r="A81">
        <v>126.8</v>
      </c>
      <c r="B81" s="2">
        <v>4204.8599999999997</v>
      </c>
    </row>
    <row r="82" spans="1:2" x14ac:dyDescent="0.25">
      <c r="A82">
        <v>220.4</v>
      </c>
      <c r="B82" s="2">
        <v>6830.82</v>
      </c>
    </row>
    <row r="83" spans="1:2" x14ac:dyDescent="0.25">
      <c r="A83">
        <v>44.7</v>
      </c>
      <c r="B83" s="2">
        <v>1673.08</v>
      </c>
    </row>
    <row r="84" spans="1:2" x14ac:dyDescent="0.25">
      <c r="A84">
        <v>107.5</v>
      </c>
      <c r="B84" s="2">
        <v>3969.41</v>
      </c>
    </row>
    <row r="85" spans="1:2" x14ac:dyDescent="0.25">
      <c r="A85">
        <v>238.2</v>
      </c>
      <c r="B85" s="2">
        <v>9409.69</v>
      </c>
    </row>
    <row r="86" spans="1:2" x14ac:dyDescent="0.25">
      <c r="A86">
        <v>237.3</v>
      </c>
      <c r="B86" s="2">
        <v>9240.7199999999993</v>
      </c>
    </row>
    <row r="87" spans="1:2" x14ac:dyDescent="0.25">
      <c r="A87">
        <v>15.1</v>
      </c>
      <c r="B87" s="2">
        <v>645.41</v>
      </c>
    </row>
    <row r="88" spans="1:2" x14ac:dyDescent="0.25">
      <c r="A88">
        <v>24</v>
      </c>
      <c r="B88" s="2">
        <v>886.40000000000009</v>
      </c>
    </row>
    <row r="89" spans="1:2" x14ac:dyDescent="0.25">
      <c r="A89">
        <v>181.9</v>
      </c>
      <c r="B89" s="2">
        <v>6922.23</v>
      </c>
    </row>
    <row r="90" spans="1:2" x14ac:dyDescent="0.25">
      <c r="A90">
        <v>204.5</v>
      </c>
      <c r="B90" s="2">
        <v>9027.43</v>
      </c>
    </row>
    <row r="91" spans="1:2" x14ac:dyDescent="0.25">
      <c r="A91">
        <v>203.8</v>
      </c>
      <c r="B91" s="2">
        <v>6941.62</v>
      </c>
    </row>
    <row r="92" spans="1:2" x14ac:dyDescent="0.25">
      <c r="A92">
        <v>10.3</v>
      </c>
      <c r="B92" s="2">
        <v>393.34</v>
      </c>
    </row>
    <row r="93" spans="1:2" x14ac:dyDescent="0.25">
      <c r="A93">
        <v>146</v>
      </c>
      <c r="B93" s="2">
        <v>4609.28</v>
      </c>
    </row>
    <row r="94" spans="1:2" x14ac:dyDescent="0.25">
      <c r="A94">
        <v>127.6</v>
      </c>
      <c r="B94" s="2">
        <v>4279.6499999999996</v>
      </c>
    </row>
    <row r="95" spans="1:2" x14ac:dyDescent="0.25">
      <c r="A95">
        <v>31.9</v>
      </c>
      <c r="B95" s="2">
        <v>1218.8000000000002</v>
      </c>
    </row>
    <row r="96" spans="1:2" x14ac:dyDescent="0.25">
      <c r="A96">
        <v>13.5</v>
      </c>
      <c r="B96" s="2">
        <v>443.20000000000005</v>
      </c>
    </row>
    <row r="97" spans="1:2" x14ac:dyDescent="0.25">
      <c r="A97">
        <v>195.9</v>
      </c>
      <c r="B97" s="2">
        <v>6792.04</v>
      </c>
    </row>
    <row r="98" spans="1:2" x14ac:dyDescent="0.25">
      <c r="A98">
        <v>207.6</v>
      </c>
      <c r="B98" s="2">
        <v>7758.77</v>
      </c>
    </row>
    <row r="99" spans="1:2" x14ac:dyDescent="0.25">
      <c r="A99">
        <v>159.80000000000001</v>
      </c>
      <c r="B99" s="2">
        <v>7063.5</v>
      </c>
    </row>
    <row r="100" spans="1:2" x14ac:dyDescent="0.25">
      <c r="A100">
        <v>227.4</v>
      </c>
      <c r="B100" s="2">
        <v>7600.88</v>
      </c>
    </row>
    <row r="101" spans="1:2" x14ac:dyDescent="0.25">
      <c r="A101">
        <v>135.69999999999999</v>
      </c>
      <c r="B101" s="2">
        <v>4758.8599999999997</v>
      </c>
    </row>
    <row r="102" spans="1:2" x14ac:dyDescent="0.25">
      <c r="A102">
        <v>167.2</v>
      </c>
      <c r="B102" s="2">
        <v>5636.9500000000007</v>
      </c>
    </row>
    <row r="103" spans="1:2" x14ac:dyDescent="0.25">
      <c r="A103">
        <v>27.8</v>
      </c>
      <c r="B103" s="2">
        <v>1224.3399999999999</v>
      </c>
    </row>
    <row r="104" spans="1:2" x14ac:dyDescent="0.25">
      <c r="A104">
        <v>64.2</v>
      </c>
      <c r="B104" s="2">
        <v>2396.0500000000002</v>
      </c>
    </row>
    <row r="105" spans="1:2" x14ac:dyDescent="0.25">
      <c r="A105">
        <v>120</v>
      </c>
      <c r="B105" s="2">
        <v>4318.43</v>
      </c>
    </row>
    <row r="106" spans="1:2" x14ac:dyDescent="0.25">
      <c r="A106">
        <v>91.8</v>
      </c>
      <c r="B106" s="2">
        <v>3700.72</v>
      </c>
    </row>
    <row r="107" spans="1:2" x14ac:dyDescent="0.25">
      <c r="A107">
        <v>211.6</v>
      </c>
      <c r="B107" s="2">
        <v>8429.11</v>
      </c>
    </row>
    <row r="108" spans="1:2" x14ac:dyDescent="0.25">
      <c r="A108">
        <v>197.6</v>
      </c>
      <c r="B108" s="2">
        <v>8091.17</v>
      </c>
    </row>
    <row r="109" spans="1:2" x14ac:dyDescent="0.25">
      <c r="A109">
        <v>215.4</v>
      </c>
      <c r="B109" s="2">
        <v>8207.51</v>
      </c>
    </row>
    <row r="110" spans="1:2" x14ac:dyDescent="0.25">
      <c r="A110">
        <v>36.299999999999997</v>
      </c>
      <c r="B110" s="2">
        <v>1387.77</v>
      </c>
    </row>
    <row r="111" spans="1:2" x14ac:dyDescent="0.25">
      <c r="A111">
        <v>110.5</v>
      </c>
      <c r="B111" s="2">
        <v>4138.38</v>
      </c>
    </row>
    <row r="112" spans="1:2" x14ac:dyDescent="0.25">
      <c r="A112">
        <v>28.2</v>
      </c>
      <c r="B112" s="2">
        <v>1116.3100000000002</v>
      </c>
    </row>
    <row r="113" spans="1:2" x14ac:dyDescent="0.25">
      <c r="A113">
        <v>154.1</v>
      </c>
      <c r="B113" s="2">
        <v>6747.72</v>
      </c>
    </row>
    <row r="114" spans="1:2" x14ac:dyDescent="0.25">
      <c r="A114">
        <v>233.3</v>
      </c>
      <c r="B114" s="2">
        <v>9235.18</v>
      </c>
    </row>
    <row r="115" spans="1:2" x14ac:dyDescent="0.25">
      <c r="A115">
        <v>137.6</v>
      </c>
      <c r="B115" s="2">
        <v>5855.78</v>
      </c>
    </row>
    <row r="116" spans="1:2" x14ac:dyDescent="0.25">
      <c r="A116">
        <v>155.1</v>
      </c>
      <c r="B116" s="2">
        <v>5927.7999999999993</v>
      </c>
    </row>
    <row r="117" spans="1:2" x14ac:dyDescent="0.25">
      <c r="A117">
        <v>133.9</v>
      </c>
      <c r="B117" s="2">
        <v>5307.32</v>
      </c>
    </row>
    <row r="118" spans="1:2" x14ac:dyDescent="0.25">
      <c r="A118">
        <v>141.5</v>
      </c>
      <c r="B118" s="2">
        <v>4462.47</v>
      </c>
    </row>
    <row r="119" spans="1:2" x14ac:dyDescent="0.25">
      <c r="A119">
        <v>154.9</v>
      </c>
      <c r="B119" s="2">
        <v>5110.6499999999996</v>
      </c>
    </row>
    <row r="120" spans="1:2" x14ac:dyDescent="0.25">
      <c r="A120">
        <v>159.5</v>
      </c>
      <c r="B120" s="2">
        <v>5146.66</v>
      </c>
    </row>
    <row r="121" spans="1:2" x14ac:dyDescent="0.25">
      <c r="A121">
        <v>134.4</v>
      </c>
      <c r="B121" s="2">
        <v>5678.5</v>
      </c>
    </row>
    <row r="122" spans="1:2" x14ac:dyDescent="0.25">
      <c r="A122">
        <v>36.6</v>
      </c>
      <c r="B122" s="2">
        <v>1138.47</v>
      </c>
    </row>
    <row r="123" spans="1:2" x14ac:dyDescent="0.25">
      <c r="A123">
        <v>30.2</v>
      </c>
      <c r="B123" s="2">
        <v>1066.45</v>
      </c>
    </row>
    <row r="124" spans="1:2" x14ac:dyDescent="0.25">
      <c r="A124">
        <v>136.30000000000001</v>
      </c>
      <c r="B124" s="2">
        <v>4589.8900000000003</v>
      </c>
    </row>
    <row r="125" spans="1:2" x14ac:dyDescent="0.25">
      <c r="A125">
        <v>81.599999999999994</v>
      </c>
      <c r="B125" s="2">
        <v>3443.11</v>
      </c>
    </row>
    <row r="126" spans="1:2" x14ac:dyDescent="0.25">
      <c r="A126">
        <v>197.6</v>
      </c>
      <c r="B126" s="2">
        <v>6357.15</v>
      </c>
    </row>
    <row r="127" spans="1:2" x14ac:dyDescent="0.25">
      <c r="A127">
        <v>198.4</v>
      </c>
      <c r="B127" s="2">
        <v>8016.38</v>
      </c>
    </row>
    <row r="128" spans="1:2" x14ac:dyDescent="0.25">
      <c r="A128">
        <v>36.4</v>
      </c>
      <c r="B128" s="2">
        <v>1351.76</v>
      </c>
    </row>
    <row r="129" spans="1:2" x14ac:dyDescent="0.25">
      <c r="A129">
        <v>118.2</v>
      </c>
      <c r="B129" s="2">
        <v>4246.41</v>
      </c>
    </row>
    <row r="130" spans="1:2" x14ac:dyDescent="0.25">
      <c r="A130">
        <v>217.8</v>
      </c>
      <c r="B130" s="2">
        <v>8733.81</v>
      </c>
    </row>
    <row r="131" spans="1:2" x14ac:dyDescent="0.25">
      <c r="A131">
        <v>135</v>
      </c>
      <c r="B131" s="2">
        <v>4589.8900000000003</v>
      </c>
    </row>
    <row r="132" spans="1:2" x14ac:dyDescent="0.25">
      <c r="A132">
        <v>188.1</v>
      </c>
      <c r="B132" s="2">
        <v>6672.93</v>
      </c>
    </row>
    <row r="133" spans="1:2" x14ac:dyDescent="0.25">
      <c r="A133">
        <v>48.8</v>
      </c>
      <c r="B133" s="2">
        <v>1709.09</v>
      </c>
    </row>
    <row r="134" spans="1:2" x14ac:dyDescent="0.25">
      <c r="A134">
        <v>108.5</v>
      </c>
      <c r="B134" s="2">
        <v>3733.96</v>
      </c>
    </row>
    <row r="135" spans="1:2" x14ac:dyDescent="0.25">
      <c r="A135">
        <v>206.7</v>
      </c>
      <c r="B135" s="2">
        <v>9454.01</v>
      </c>
    </row>
    <row r="136" spans="1:2" x14ac:dyDescent="0.25">
      <c r="A136">
        <v>217.8</v>
      </c>
      <c r="B136" s="2">
        <v>8783.67</v>
      </c>
    </row>
    <row r="137" spans="1:2" x14ac:dyDescent="0.25">
      <c r="A137">
        <v>237.1</v>
      </c>
      <c r="B137" s="2">
        <v>9304.43</v>
      </c>
    </row>
    <row r="138" spans="1:2" x14ac:dyDescent="0.25">
      <c r="A138">
        <v>146.69999999999999</v>
      </c>
      <c r="B138" s="2">
        <v>4733.93</v>
      </c>
    </row>
    <row r="139" spans="1:2" x14ac:dyDescent="0.25">
      <c r="A139">
        <v>179.8</v>
      </c>
      <c r="B139" s="2">
        <v>6102.31</v>
      </c>
    </row>
    <row r="140" spans="1:2" x14ac:dyDescent="0.25">
      <c r="A140">
        <v>106.9</v>
      </c>
      <c r="B140" s="2">
        <v>4894.59</v>
      </c>
    </row>
    <row r="141" spans="1:2" x14ac:dyDescent="0.25">
      <c r="A141">
        <v>164.7</v>
      </c>
      <c r="B141" s="2">
        <v>5958.27</v>
      </c>
    </row>
    <row r="142" spans="1:2" x14ac:dyDescent="0.25">
      <c r="A142">
        <v>229.8</v>
      </c>
      <c r="B142" s="2">
        <v>9285.0400000000009</v>
      </c>
    </row>
    <row r="143" spans="1:2" x14ac:dyDescent="0.25">
      <c r="A143">
        <v>121.5</v>
      </c>
      <c r="B143" s="2">
        <v>4883.5099999999993</v>
      </c>
    </row>
    <row r="144" spans="1:2" x14ac:dyDescent="0.25">
      <c r="A144">
        <v>232.5</v>
      </c>
      <c r="B144" s="2">
        <v>10692.2</v>
      </c>
    </row>
    <row r="145" spans="1:2" x14ac:dyDescent="0.25">
      <c r="A145">
        <v>124.8</v>
      </c>
      <c r="B145" s="2">
        <v>4578.8100000000004</v>
      </c>
    </row>
    <row r="146" spans="1:2" x14ac:dyDescent="0.25">
      <c r="A146">
        <v>134.30000000000001</v>
      </c>
      <c r="B146" s="2">
        <v>4958.2999999999993</v>
      </c>
    </row>
    <row r="147" spans="1:2" x14ac:dyDescent="0.25">
      <c r="A147">
        <v>163.5</v>
      </c>
      <c r="B147" s="2">
        <v>6069.07</v>
      </c>
    </row>
    <row r="148" spans="1:2" x14ac:dyDescent="0.25">
      <c r="A148">
        <v>13.9</v>
      </c>
      <c r="B148" s="2">
        <v>529.06999999999994</v>
      </c>
    </row>
    <row r="149" spans="1:2" x14ac:dyDescent="0.25">
      <c r="A149">
        <v>181.3</v>
      </c>
      <c r="B149" s="2">
        <v>7708.91</v>
      </c>
    </row>
    <row r="150" spans="1:2" x14ac:dyDescent="0.25">
      <c r="A150">
        <v>209</v>
      </c>
      <c r="B150" s="2">
        <v>9309.9699999999993</v>
      </c>
    </row>
    <row r="151" spans="1:2" x14ac:dyDescent="0.25">
      <c r="A151">
        <v>106.9</v>
      </c>
      <c r="B151" s="2">
        <v>4301.8099999999995</v>
      </c>
    </row>
    <row r="152" spans="1:2" x14ac:dyDescent="0.25">
      <c r="A152">
        <v>82.1</v>
      </c>
      <c r="B152" s="2">
        <v>2612.11</v>
      </c>
    </row>
    <row r="153" spans="1:2" x14ac:dyDescent="0.25">
      <c r="A153">
        <v>110.5</v>
      </c>
      <c r="B153" s="2">
        <v>3448.6499999999996</v>
      </c>
    </row>
    <row r="154" spans="1:2" x14ac:dyDescent="0.25">
      <c r="A154">
        <v>231.1</v>
      </c>
      <c r="B154" s="2">
        <v>9379.2199999999993</v>
      </c>
    </row>
    <row r="155" spans="1:2" x14ac:dyDescent="0.25">
      <c r="A155">
        <v>162.6</v>
      </c>
      <c r="B155" s="2">
        <v>5930.57</v>
      </c>
    </row>
    <row r="156" spans="1:2" x14ac:dyDescent="0.25">
      <c r="A156">
        <v>198.6</v>
      </c>
      <c r="B156" s="2">
        <v>8506.67</v>
      </c>
    </row>
    <row r="157" spans="1:2" x14ac:dyDescent="0.25">
      <c r="A157">
        <v>156.6</v>
      </c>
      <c r="B157" s="2">
        <v>5850.2400000000007</v>
      </c>
    </row>
    <row r="158" spans="1:2" x14ac:dyDescent="0.25">
      <c r="A158">
        <v>204.9</v>
      </c>
      <c r="B158" s="2">
        <v>7141.06</v>
      </c>
    </row>
    <row r="159" spans="1:2" x14ac:dyDescent="0.25">
      <c r="A159">
        <v>193.6</v>
      </c>
      <c r="B159" s="2">
        <v>6196.4900000000007</v>
      </c>
    </row>
    <row r="160" spans="1:2" x14ac:dyDescent="0.25">
      <c r="A160">
        <v>236.9</v>
      </c>
      <c r="B160" s="2">
        <v>8550.99</v>
      </c>
    </row>
    <row r="161" spans="1:2" x14ac:dyDescent="0.25">
      <c r="A161">
        <v>30.6</v>
      </c>
      <c r="B161" s="2">
        <v>1337.91</v>
      </c>
    </row>
    <row r="162" spans="1:2" x14ac:dyDescent="0.25">
      <c r="A162">
        <v>37.299999999999997</v>
      </c>
      <c r="B162" s="2">
        <v>1171.71</v>
      </c>
    </row>
    <row r="163" spans="1:2" x14ac:dyDescent="0.25">
      <c r="A163">
        <v>67.3</v>
      </c>
      <c r="B163" s="2">
        <v>2188.3000000000002</v>
      </c>
    </row>
    <row r="164" spans="1:2" x14ac:dyDescent="0.25">
      <c r="A164">
        <v>17.7</v>
      </c>
      <c r="B164" s="2">
        <v>675.88</v>
      </c>
    </row>
    <row r="165" spans="1:2" x14ac:dyDescent="0.25">
      <c r="A165">
        <v>173.9</v>
      </c>
      <c r="B165" s="2">
        <v>6742.18</v>
      </c>
    </row>
    <row r="166" spans="1:2" x14ac:dyDescent="0.25">
      <c r="A166">
        <v>223.3</v>
      </c>
      <c r="B166" s="2">
        <v>8442.9600000000009</v>
      </c>
    </row>
    <row r="167" spans="1:2" x14ac:dyDescent="0.25">
      <c r="A167">
        <v>92.2</v>
      </c>
      <c r="B167" s="2">
        <v>4005.42</v>
      </c>
    </row>
    <row r="168" spans="1:2" x14ac:dyDescent="0.25">
      <c r="A168">
        <v>85</v>
      </c>
      <c r="B168" s="2">
        <v>2833.71</v>
      </c>
    </row>
    <row r="169" spans="1:2" x14ac:dyDescent="0.25">
      <c r="A169">
        <v>179.7</v>
      </c>
      <c r="B169" s="2">
        <v>7764.31</v>
      </c>
    </row>
    <row r="170" spans="1:2" x14ac:dyDescent="0.25">
      <c r="A170">
        <v>201.6</v>
      </c>
      <c r="B170" s="2">
        <v>8093.94</v>
      </c>
    </row>
    <row r="171" spans="1:2" x14ac:dyDescent="0.25">
      <c r="A171">
        <v>164.4</v>
      </c>
      <c r="B171" s="2">
        <v>5949.96</v>
      </c>
    </row>
    <row r="172" spans="1:2" x14ac:dyDescent="0.25">
      <c r="A172">
        <v>222.5</v>
      </c>
      <c r="B172" s="2">
        <v>6955.47</v>
      </c>
    </row>
    <row r="173" spans="1:2" x14ac:dyDescent="0.25">
      <c r="A173">
        <v>58.4</v>
      </c>
      <c r="B173" s="2">
        <v>2022.1</v>
      </c>
    </row>
    <row r="174" spans="1:2" x14ac:dyDescent="0.25">
      <c r="A174">
        <v>80.2</v>
      </c>
      <c r="B174" s="2">
        <v>2661.97</v>
      </c>
    </row>
    <row r="175" spans="1:2" x14ac:dyDescent="0.25">
      <c r="A175">
        <v>105.4</v>
      </c>
      <c r="B175" s="2">
        <v>3426.49</v>
      </c>
    </row>
    <row r="176" spans="1:2" x14ac:dyDescent="0.25">
      <c r="A176">
        <v>202.1</v>
      </c>
      <c r="B176" s="2">
        <v>6509.5</v>
      </c>
    </row>
    <row r="177" spans="1:2" x14ac:dyDescent="0.25">
      <c r="A177">
        <v>146.4</v>
      </c>
      <c r="B177" s="2">
        <v>6199.2599999999993</v>
      </c>
    </row>
    <row r="178" spans="1:2" x14ac:dyDescent="0.25">
      <c r="A178">
        <v>241</v>
      </c>
      <c r="B178" s="2">
        <v>11099.39</v>
      </c>
    </row>
    <row r="179" spans="1:2" x14ac:dyDescent="0.25">
      <c r="A179">
        <v>204.7</v>
      </c>
      <c r="B179" s="2">
        <v>6492.88</v>
      </c>
    </row>
    <row r="180" spans="1:2" x14ac:dyDescent="0.25">
      <c r="A180">
        <v>46.7</v>
      </c>
      <c r="B180" s="2">
        <v>2071.96</v>
      </c>
    </row>
    <row r="181" spans="1:2" x14ac:dyDescent="0.25">
      <c r="A181">
        <v>218.7</v>
      </c>
      <c r="B181" s="2">
        <v>8894.4699999999993</v>
      </c>
    </row>
    <row r="182" spans="1:2" x14ac:dyDescent="0.25">
      <c r="A182">
        <v>80.5</v>
      </c>
      <c r="B182" s="2">
        <v>3310.1499999999996</v>
      </c>
    </row>
    <row r="183" spans="1:2" x14ac:dyDescent="0.25">
      <c r="A183">
        <v>18.899999999999999</v>
      </c>
      <c r="B183" s="2">
        <v>686.96</v>
      </c>
    </row>
    <row r="184" spans="1:2" x14ac:dyDescent="0.25">
      <c r="A184">
        <v>66.5</v>
      </c>
      <c r="B184" s="2">
        <v>2393.2800000000002</v>
      </c>
    </row>
    <row r="185" spans="1:2" x14ac:dyDescent="0.25">
      <c r="A185">
        <v>46.4</v>
      </c>
      <c r="B185" s="2">
        <v>2063.65</v>
      </c>
    </row>
    <row r="186" spans="1:2" x14ac:dyDescent="0.25">
      <c r="A186">
        <v>94</v>
      </c>
      <c r="B186" s="2">
        <v>3066.39</v>
      </c>
    </row>
    <row r="187" spans="1:2" x14ac:dyDescent="0.25">
      <c r="A187">
        <v>127.1</v>
      </c>
      <c r="B187" s="2">
        <v>4213.17</v>
      </c>
    </row>
    <row r="188" spans="1:2" x14ac:dyDescent="0.25">
      <c r="A188">
        <v>34.200000000000003</v>
      </c>
      <c r="B188" s="2">
        <v>1202.18</v>
      </c>
    </row>
    <row r="189" spans="1:2" x14ac:dyDescent="0.25">
      <c r="A189">
        <v>81.5</v>
      </c>
      <c r="B189" s="2">
        <v>2830.94</v>
      </c>
    </row>
    <row r="190" spans="1:2" x14ac:dyDescent="0.25">
      <c r="A190">
        <v>18.2</v>
      </c>
      <c r="B190" s="2">
        <v>750.67</v>
      </c>
    </row>
    <row r="191" spans="1:2" x14ac:dyDescent="0.25">
      <c r="A191">
        <v>67.900000000000006</v>
      </c>
      <c r="B191" s="2">
        <v>2908.5</v>
      </c>
    </row>
    <row r="192" spans="1:2" x14ac:dyDescent="0.25">
      <c r="A192">
        <v>76</v>
      </c>
      <c r="B192" s="2">
        <v>3002.68</v>
      </c>
    </row>
    <row r="193" spans="1:2" x14ac:dyDescent="0.25">
      <c r="A193">
        <v>152.30000000000001</v>
      </c>
      <c r="B193" s="2">
        <v>5905.64</v>
      </c>
    </row>
    <row r="194" spans="1:2" x14ac:dyDescent="0.25">
      <c r="A194">
        <v>182.3</v>
      </c>
      <c r="B194" s="2">
        <v>5792.07</v>
      </c>
    </row>
    <row r="195" spans="1:2" x14ac:dyDescent="0.25">
      <c r="A195">
        <v>19.3</v>
      </c>
      <c r="B195" s="2">
        <v>692.5</v>
      </c>
    </row>
    <row r="196" spans="1:2" x14ac:dyDescent="0.25">
      <c r="A196">
        <v>48.4</v>
      </c>
      <c r="B196" s="2">
        <v>1747.87</v>
      </c>
    </row>
    <row r="197" spans="1:2" x14ac:dyDescent="0.25">
      <c r="A197">
        <v>210.1</v>
      </c>
      <c r="B197" s="2">
        <v>8157.65</v>
      </c>
    </row>
    <row r="198" spans="1:2" x14ac:dyDescent="0.25">
      <c r="A198">
        <v>121.3</v>
      </c>
      <c r="B198" s="2">
        <v>4897.3599999999997</v>
      </c>
    </row>
    <row r="199" spans="1:2" x14ac:dyDescent="0.25">
      <c r="A199">
        <v>243.7</v>
      </c>
      <c r="B199" s="2">
        <v>9174.24</v>
      </c>
    </row>
    <row r="200" spans="1:2" x14ac:dyDescent="0.25">
      <c r="A200">
        <v>120.7</v>
      </c>
      <c r="B200" s="2">
        <v>4454.16</v>
      </c>
    </row>
    <row r="201" spans="1:2" x14ac:dyDescent="0.25">
      <c r="A201">
        <v>145.9</v>
      </c>
      <c r="B201" s="2">
        <v>5750.52</v>
      </c>
    </row>
    <row r="202" spans="1:2" x14ac:dyDescent="0.25">
      <c r="A202">
        <v>245.9</v>
      </c>
      <c r="B202" s="2">
        <v>9888.9000000000015</v>
      </c>
    </row>
    <row r="203" spans="1:2" x14ac:dyDescent="0.25">
      <c r="A203">
        <v>125.5</v>
      </c>
      <c r="B203" s="2">
        <v>5454.13</v>
      </c>
    </row>
    <row r="204" spans="1:2" x14ac:dyDescent="0.25">
      <c r="A204">
        <v>177.1</v>
      </c>
      <c r="B204" s="2">
        <v>7625.81</v>
      </c>
    </row>
    <row r="205" spans="1:2" x14ac:dyDescent="0.25">
      <c r="A205">
        <v>210.5</v>
      </c>
      <c r="B205" s="2">
        <v>8656.25</v>
      </c>
    </row>
    <row r="206" spans="1:2" x14ac:dyDescent="0.25">
      <c r="A206">
        <v>210.9</v>
      </c>
      <c r="B206" s="2">
        <v>7418.06</v>
      </c>
    </row>
    <row r="207" spans="1:2" x14ac:dyDescent="0.25">
      <c r="A207">
        <v>93.1</v>
      </c>
      <c r="B207" s="2">
        <v>3717.34</v>
      </c>
    </row>
    <row r="208" spans="1:2" x14ac:dyDescent="0.25">
      <c r="A208">
        <v>189.2</v>
      </c>
      <c r="B208" s="2">
        <v>8237.98</v>
      </c>
    </row>
    <row r="209" spans="1:2" x14ac:dyDescent="0.25">
      <c r="A209">
        <v>113.2</v>
      </c>
      <c r="B209" s="2">
        <v>3528.98</v>
      </c>
    </row>
    <row r="210" spans="1:2" x14ac:dyDescent="0.25">
      <c r="A210">
        <v>83.3</v>
      </c>
      <c r="B210" s="2">
        <v>3667.48</v>
      </c>
    </row>
    <row r="211" spans="1:2" x14ac:dyDescent="0.25">
      <c r="A211">
        <v>25.6</v>
      </c>
      <c r="B211" s="2">
        <v>925.18</v>
      </c>
    </row>
    <row r="212" spans="1:2" x14ac:dyDescent="0.25">
      <c r="A212">
        <v>220.7</v>
      </c>
      <c r="B212" s="2">
        <v>7121.67</v>
      </c>
    </row>
    <row r="213" spans="1:2" x14ac:dyDescent="0.25">
      <c r="A213">
        <v>73.5</v>
      </c>
      <c r="B213" s="2">
        <v>3354.47</v>
      </c>
    </row>
    <row r="214" spans="1:2" x14ac:dyDescent="0.25">
      <c r="A214">
        <v>57.5</v>
      </c>
      <c r="B214" s="2">
        <v>2149.52</v>
      </c>
    </row>
    <row r="215" spans="1:2" x14ac:dyDescent="0.25">
      <c r="A215">
        <v>166.5</v>
      </c>
      <c r="B215" s="2">
        <v>5451.36</v>
      </c>
    </row>
    <row r="216" spans="1:2" x14ac:dyDescent="0.25">
      <c r="A216">
        <v>168.6</v>
      </c>
      <c r="B216" s="2">
        <v>5792.07</v>
      </c>
    </row>
    <row r="217" spans="1:2" x14ac:dyDescent="0.25">
      <c r="A217">
        <v>150.5</v>
      </c>
      <c r="B217" s="2">
        <v>6811.43</v>
      </c>
    </row>
    <row r="218" spans="1:2" x14ac:dyDescent="0.25">
      <c r="A218">
        <v>236.8</v>
      </c>
      <c r="B218" s="2">
        <v>8559.2999999999993</v>
      </c>
    </row>
    <row r="219" spans="1:2" x14ac:dyDescent="0.25">
      <c r="A219">
        <v>196.2</v>
      </c>
      <c r="B219" s="2">
        <v>7379.28</v>
      </c>
    </row>
    <row r="220" spans="1:2" x14ac:dyDescent="0.25">
      <c r="A220">
        <v>98.3</v>
      </c>
      <c r="B220" s="2">
        <v>3581.61</v>
      </c>
    </row>
    <row r="221" spans="1:2" x14ac:dyDescent="0.25">
      <c r="A221">
        <v>31</v>
      </c>
      <c r="B221" s="2">
        <v>1171.71</v>
      </c>
    </row>
    <row r="222" spans="1:2" x14ac:dyDescent="0.25">
      <c r="A222">
        <v>139.5</v>
      </c>
      <c r="B222" s="2">
        <v>4434.7700000000004</v>
      </c>
    </row>
    <row r="223" spans="1:2" x14ac:dyDescent="0.25">
      <c r="A223">
        <v>129.5</v>
      </c>
      <c r="B223" s="2">
        <v>4027.58</v>
      </c>
    </row>
    <row r="224" spans="1:2" x14ac:dyDescent="0.25">
      <c r="A224">
        <v>229.9</v>
      </c>
      <c r="B224" s="2">
        <v>9218.56</v>
      </c>
    </row>
    <row r="225" spans="1:2" x14ac:dyDescent="0.25">
      <c r="A225">
        <v>74.7</v>
      </c>
      <c r="B225" s="2">
        <v>2861.41</v>
      </c>
    </row>
    <row r="226" spans="1:2" x14ac:dyDescent="0.25">
      <c r="A226">
        <v>151.4</v>
      </c>
      <c r="B226" s="2">
        <v>6880.68</v>
      </c>
    </row>
    <row r="227" spans="1:2" x14ac:dyDescent="0.25">
      <c r="A227">
        <v>150.19999999999999</v>
      </c>
      <c r="B227" s="2">
        <v>5434.7400000000007</v>
      </c>
    </row>
    <row r="228" spans="1:2" x14ac:dyDescent="0.25">
      <c r="A228">
        <v>163</v>
      </c>
      <c r="B228" s="2">
        <v>7307.2599999999993</v>
      </c>
    </row>
    <row r="229" spans="1:2" x14ac:dyDescent="0.25">
      <c r="A229">
        <v>101.3</v>
      </c>
      <c r="B229" s="2">
        <v>4033.1200000000003</v>
      </c>
    </row>
    <row r="230" spans="1:2" x14ac:dyDescent="0.25">
      <c r="A230">
        <v>61.8</v>
      </c>
      <c r="B230" s="2">
        <v>2620.42</v>
      </c>
    </row>
    <row r="231" spans="1:2" x14ac:dyDescent="0.25">
      <c r="A231">
        <v>25.7</v>
      </c>
      <c r="B231" s="2">
        <v>817.15000000000009</v>
      </c>
    </row>
    <row r="232" spans="1:2" x14ac:dyDescent="0.25">
      <c r="A232">
        <v>10.9</v>
      </c>
      <c r="B232" s="2">
        <v>398.88</v>
      </c>
    </row>
    <row r="233" spans="1:2" x14ac:dyDescent="0.25">
      <c r="A233">
        <v>225.3</v>
      </c>
      <c r="B233" s="2">
        <v>7542.71</v>
      </c>
    </row>
    <row r="234" spans="1:2" x14ac:dyDescent="0.25">
      <c r="A234">
        <v>131.9</v>
      </c>
      <c r="B234" s="2">
        <v>4066.36</v>
      </c>
    </row>
    <row r="235" spans="1:2" x14ac:dyDescent="0.25">
      <c r="A235">
        <v>219</v>
      </c>
      <c r="B235" s="2">
        <v>7933.28</v>
      </c>
    </row>
    <row r="236" spans="1:2" x14ac:dyDescent="0.25">
      <c r="A236">
        <v>24</v>
      </c>
      <c r="B236" s="2">
        <v>806.07</v>
      </c>
    </row>
    <row r="237" spans="1:2" x14ac:dyDescent="0.25">
      <c r="A237">
        <v>183</v>
      </c>
      <c r="B237" s="2">
        <v>6866.83</v>
      </c>
    </row>
    <row r="238" spans="1:2" x14ac:dyDescent="0.25">
      <c r="A238">
        <v>133.80000000000001</v>
      </c>
      <c r="B238" s="2">
        <v>6096.77</v>
      </c>
    </row>
    <row r="239" spans="1:2" x14ac:dyDescent="0.25">
      <c r="A239">
        <v>22.1</v>
      </c>
      <c r="B239" s="2">
        <v>900.25</v>
      </c>
    </row>
    <row r="240" spans="1:2" x14ac:dyDescent="0.25">
      <c r="A240">
        <v>163.9</v>
      </c>
      <c r="B240" s="2">
        <v>5409.81</v>
      </c>
    </row>
    <row r="241" spans="1:2" x14ac:dyDescent="0.25">
      <c r="A241">
        <v>96.2</v>
      </c>
      <c r="B241" s="2">
        <v>3468.04</v>
      </c>
    </row>
    <row r="242" spans="1:2" x14ac:dyDescent="0.25">
      <c r="A242">
        <v>226.8</v>
      </c>
      <c r="B242" s="2">
        <v>9132.69</v>
      </c>
    </row>
    <row r="243" spans="1:2" x14ac:dyDescent="0.25">
      <c r="A243">
        <v>134.6</v>
      </c>
      <c r="B243" s="2">
        <v>4675.7599999999993</v>
      </c>
    </row>
    <row r="244" spans="1:2" x14ac:dyDescent="0.25">
      <c r="A244">
        <v>16.600000000000001</v>
      </c>
      <c r="B244" s="2">
        <v>662.03000000000009</v>
      </c>
    </row>
    <row r="245" spans="1:2" x14ac:dyDescent="0.25">
      <c r="A245">
        <v>142.9</v>
      </c>
      <c r="B245" s="2">
        <v>5243.61</v>
      </c>
    </row>
    <row r="246" spans="1:2" x14ac:dyDescent="0.25">
      <c r="A246">
        <v>184.6</v>
      </c>
      <c r="B246" s="2">
        <v>7024.72</v>
      </c>
    </row>
    <row r="247" spans="1:2" x14ac:dyDescent="0.25">
      <c r="A247">
        <v>52.9</v>
      </c>
      <c r="B247" s="2">
        <v>2384.9699999999998</v>
      </c>
    </row>
    <row r="248" spans="1:2" x14ac:dyDescent="0.25">
      <c r="A248">
        <v>77.5</v>
      </c>
      <c r="B248" s="2">
        <v>2911.27</v>
      </c>
    </row>
    <row r="249" spans="1:2" x14ac:dyDescent="0.25">
      <c r="A249">
        <v>179.3</v>
      </c>
      <c r="B249" s="2">
        <v>5941.65</v>
      </c>
    </row>
    <row r="250" spans="1:2" x14ac:dyDescent="0.25">
      <c r="A250">
        <v>78.2</v>
      </c>
      <c r="B250" s="2">
        <v>3429.26</v>
      </c>
    </row>
    <row r="251" spans="1:2" x14ac:dyDescent="0.25">
      <c r="A251">
        <v>57.1</v>
      </c>
      <c r="B251" s="2">
        <v>2296.33</v>
      </c>
    </row>
    <row r="252" spans="1:2" x14ac:dyDescent="0.25">
      <c r="A252">
        <v>166.9</v>
      </c>
      <c r="B252" s="2">
        <v>5420.89</v>
      </c>
    </row>
    <row r="253" spans="1:2" x14ac:dyDescent="0.25">
      <c r="A253">
        <v>194.6</v>
      </c>
      <c r="B253" s="2">
        <v>7487.31</v>
      </c>
    </row>
    <row r="254" spans="1:2" x14ac:dyDescent="0.25">
      <c r="A254">
        <v>122.9</v>
      </c>
      <c r="B254" s="2">
        <v>5005.3900000000003</v>
      </c>
    </row>
    <row r="255" spans="1:2" x14ac:dyDescent="0.25">
      <c r="A255">
        <v>99.1</v>
      </c>
      <c r="B255" s="2">
        <v>3589.92</v>
      </c>
    </row>
    <row r="256" spans="1:2" x14ac:dyDescent="0.25">
      <c r="A256">
        <v>187.8</v>
      </c>
      <c r="B256" s="2">
        <v>6041.37</v>
      </c>
    </row>
    <row r="257" spans="1:2" x14ac:dyDescent="0.25">
      <c r="A257">
        <v>40.200000000000003</v>
      </c>
      <c r="B257" s="2">
        <v>1811.58</v>
      </c>
    </row>
    <row r="258" spans="1:2" x14ac:dyDescent="0.25">
      <c r="A258">
        <v>143.1</v>
      </c>
      <c r="B258" s="2">
        <v>5035.8599999999997</v>
      </c>
    </row>
    <row r="259" spans="1:2" x14ac:dyDescent="0.25">
      <c r="A259">
        <v>31.9</v>
      </c>
      <c r="B259" s="2">
        <v>1016.59</v>
      </c>
    </row>
    <row r="260" spans="1:2" x14ac:dyDescent="0.25">
      <c r="A260">
        <v>19.100000000000001</v>
      </c>
      <c r="B260" s="2">
        <v>761.75</v>
      </c>
    </row>
    <row r="261" spans="1:2" x14ac:dyDescent="0.25">
      <c r="A261">
        <v>85.8</v>
      </c>
      <c r="B261" s="2">
        <v>3476.3500000000004</v>
      </c>
    </row>
    <row r="262" spans="1:2" x14ac:dyDescent="0.25">
      <c r="A262">
        <v>170.5</v>
      </c>
      <c r="B262" s="2">
        <v>7767.08</v>
      </c>
    </row>
    <row r="263" spans="1:2" x14ac:dyDescent="0.25">
      <c r="A263">
        <v>148.19999999999999</v>
      </c>
      <c r="B263" s="2">
        <v>5927.7999999999993</v>
      </c>
    </row>
    <row r="264" spans="1:2" x14ac:dyDescent="0.25">
      <c r="A264">
        <v>48.8</v>
      </c>
      <c r="B264" s="2">
        <v>1548.43</v>
      </c>
    </row>
    <row r="265" spans="1:2" x14ac:dyDescent="0.25">
      <c r="A265">
        <v>109.7</v>
      </c>
      <c r="B265" s="2">
        <v>4157.7699999999995</v>
      </c>
    </row>
    <row r="266" spans="1:2" x14ac:dyDescent="0.25">
      <c r="A266">
        <v>227.8</v>
      </c>
      <c r="B266" s="2">
        <v>7830.79</v>
      </c>
    </row>
    <row r="267" spans="1:2" x14ac:dyDescent="0.25">
      <c r="A267">
        <v>42.9</v>
      </c>
      <c r="B267" s="2">
        <v>1797.73</v>
      </c>
    </row>
    <row r="268" spans="1:2" x14ac:dyDescent="0.25">
      <c r="A268">
        <v>137.80000000000001</v>
      </c>
      <c r="B268" s="2">
        <v>5285.16</v>
      </c>
    </row>
    <row r="269" spans="1:2" x14ac:dyDescent="0.25">
      <c r="A269">
        <v>42.5</v>
      </c>
      <c r="B269" s="2">
        <v>1365.61</v>
      </c>
    </row>
    <row r="270" spans="1:2" x14ac:dyDescent="0.25">
      <c r="A270">
        <v>224</v>
      </c>
      <c r="B270" s="2">
        <v>8645.17</v>
      </c>
    </row>
    <row r="271" spans="1:2" x14ac:dyDescent="0.25">
      <c r="A271">
        <v>133.30000000000001</v>
      </c>
      <c r="B271" s="2">
        <v>5877.94</v>
      </c>
    </row>
    <row r="272" spans="1:2" x14ac:dyDescent="0.25">
      <c r="A272">
        <v>165.9</v>
      </c>
      <c r="B272" s="2">
        <v>6941.62</v>
      </c>
    </row>
    <row r="273" spans="1:2" x14ac:dyDescent="0.25">
      <c r="A273">
        <v>18.399999999999999</v>
      </c>
      <c r="B273" s="2">
        <v>581.70000000000005</v>
      </c>
    </row>
    <row r="274" spans="1:2" x14ac:dyDescent="0.25">
      <c r="A274">
        <v>103</v>
      </c>
      <c r="B274" s="2">
        <v>3390.48</v>
      </c>
    </row>
    <row r="275" spans="1:2" x14ac:dyDescent="0.25">
      <c r="A275">
        <v>134.30000000000001</v>
      </c>
      <c r="B275" s="2">
        <v>4152.2300000000005</v>
      </c>
    </row>
    <row r="276" spans="1:2" x14ac:dyDescent="0.25">
      <c r="A276">
        <v>74.099999999999994</v>
      </c>
      <c r="B276" s="2">
        <v>2551.17</v>
      </c>
    </row>
    <row r="277" spans="1:2" x14ac:dyDescent="0.25">
      <c r="A277">
        <v>123</v>
      </c>
      <c r="B277" s="2">
        <v>3927.86</v>
      </c>
    </row>
    <row r="278" spans="1:2" x14ac:dyDescent="0.25">
      <c r="A278">
        <v>208.6</v>
      </c>
      <c r="B278" s="2">
        <v>8827.99</v>
      </c>
    </row>
    <row r="279" spans="1:2" x14ac:dyDescent="0.25">
      <c r="A279">
        <v>235.5</v>
      </c>
      <c r="B279" s="2">
        <v>9321.0499999999993</v>
      </c>
    </row>
    <row r="280" spans="1:2" x14ac:dyDescent="0.25">
      <c r="A280">
        <v>38.299999999999997</v>
      </c>
      <c r="B280" s="2">
        <v>1204.9499999999998</v>
      </c>
    </row>
    <row r="281" spans="1:2" x14ac:dyDescent="0.25">
      <c r="A281">
        <v>226.9</v>
      </c>
      <c r="B281" s="2">
        <v>9063.44</v>
      </c>
    </row>
    <row r="282" spans="1:2" x14ac:dyDescent="0.25">
      <c r="A282">
        <v>94.9</v>
      </c>
      <c r="B282" s="2">
        <v>3024.84</v>
      </c>
    </row>
    <row r="283" spans="1:2" x14ac:dyDescent="0.25">
      <c r="A283">
        <v>195</v>
      </c>
      <c r="B283" s="2">
        <v>8996.9599999999991</v>
      </c>
    </row>
    <row r="284" spans="1:2" x14ac:dyDescent="0.25">
      <c r="A284">
        <v>43.3</v>
      </c>
      <c r="B284" s="2">
        <v>1451.48</v>
      </c>
    </row>
    <row r="285" spans="1:2" x14ac:dyDescent="0.25">
      <c r="A285">
        <v>125.3</v>
      </c>
      <c r="B285" s="2">
        <v>5623.1</v>
      </c>
    </row>
    <row r="286" spans="1:2" x14ac:dyDescent="0.25">
      <c r="A286">
        <v>35</v>
      </c>
      <c r="B286" s="2">
        <v>1227.1099999999999</v>
      </c>
    </row>
    <row r="287" spans="1:2" x14ac:dyDescent="0.25">
      <c r="A287">
        <v>133.69999999999999</v>
      </c>
      <c r="B287" s="2">
        <v>4767.17</v>
      </c>
    </row>
    <row r="288" spans="1:2" x14ac:dyDescent="0.25">
      <c r="A288">
        <v>200.9</v>
      </c>
      <c r="B288" s="2">
        <v>7456.84</v>
      </c>
    </row>
    <row r="289" spans="1:2" x14ac:dyDescent="0.25">
      <c r="A289">
        <v>211.3</v>
      </c>
      <c r="B289" s="2">
        <v>8044.08</v>
      </c>
    </row>
    <row r="290" spans="1:2" x14ac:dyDescent="0.25">
      <c r="A290">
        <v>158.80000000000001</v>
      </c>
      <c r="B290" s="2">
        <v>5279.62</v>
      </c>
    </row>
    <row r="291" spans="1:2" x14ac:dyDescent="0.25">
      <c r="A291">
        <v>13.8</v>
      </c>
      <c r="B291" s="2">
        <v>556.77</v>
      </c>
    </row>
    <row r="292" spans="1:2" x14ac:dyDescent="0.25">
      <c r="A292">
        <v>239</v>
      </c>
      <c r="B292" s="2">
        <v>10883.33</v>
      </c>
    </row>
    <row r="293" spans="1:2" x14ac:dyDescent="0.25">
      <c r="A293">
        <v>32.799999999999997</v>
      </c>
      <c r="B293" s="2">
        <v>1096.92</v>
      </c>
    </row>
    <row r="294" spans="1:2" x14ac:dyDescent="0.25">
      <c r="A294">
        <v>198.9</v>
      </c>
      <c r="B294" s="2">
        <v>8312.77</v>
      </c>
    </row>
    <row r="295" spans="1:2" x14ac:dyDescent="0.25">
      <c r="A295">
        <v>238.2</v>
      </c>
      <c r="B295" s="2">
        <v>8670.1</v>
      </c>
    </row>
    <row r="296" spans="1:2" x14ac:dyDescent="0.25">
      <c r="A296">
        <v>74.099999999999994</v>
      </c>
      <c r="B296" s="2">
        <v>2407.1299999999997</v>
      </c>
    </row>
    <row r="297" spans="1:2" x14ac:dyDescent="0.25">
      <c r="A297">
        <v>155.4</v>
      </c>
      <c r="B297" s="2">
        <v>5174.3599999999997</v>
      </c>
    </row>
    <row r="298" spans="1:2" x14ac:dyDescent="0.25">
      <c r="A298">
        <v>46.7</v>
      </c>
      <c r="B298" s="2">
        <v>2069.19</v>
      </c>
    </row>
    <row r="299" spans="1:2" x14ac:dyDescent="0.25">
      <c r="A299">
        <v>194.3</v>
      </c>
      <c r="B299" s="2">
        <v>6398.7000000000007</v>
      </c>
    </row>
    <row r="300" spans="1:2" x14ac:dyDescent="0.25">
      <c r="A300">
        <v>153.9</v>
      </c>
      <c r="B300" s="2">
        <v>6980.4</v>
      </c>
    </row>
    <row r="301" spans="1:2" x14ac:dyDescent="0.25">
      <c r="A301">
        <v>124.2</v>
      </c>
      <c r="B301" s="2">
        <v>4321.2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B362-BE02-43D1-9E23-0194B31C9415}">
  <dimension ref="A1:E301"/>
  <sheetViews>
    <sheetView workbookViewId="0">
      <selection activeCell="K26" sqref="K26"/>
    </sheetView>
  </sheetViews>
  <sheetFormatPr defaultRowHeight="15" x14ac:dyDescent="0.25"/>
  <cols>
    <col min="1" max="1" width="8.85546875" bestFit="1" customWidth="1"/>
    <col min="2" max="2" width="10.5703125" bestFit="1" customWidth="1"/>
    <col min="4" max="4" width="11.140625" bestFit="1" customWidth="1"/>
    <col min="5" max="5" width="17.42578125" bestFit="1" customWidth="1"/>
  </cols>
  <sheetData>
    <row r="1" spans="1:5" x14ac:dyDescent="0.25">
      <c r="A1" s="1" t="s">
        <v>13</v>
      </c>
      <c r="B1" s="1" t="s">
        <v>14</v>
      </c>
    </row>
    <row r="2" spans="1:5" x14ac:dyDescent="0.25">
      <c r="A2" t="s">
        <v>1213</v>
      </c>
      <c r="B2">
        <v>5</v>
      </c>
    </row>
    <row r="3" spans="1:5" x14ac:dyDescent="0.25">
      <c r="A3" t="s">
        <v>1214</v>
      </c>
      <c r="B3">
        <v>20</v>
      </c>
      <c r="D3" s="4" t="s">
        <v>13</v>
      </c>
      <c r="E3" t="s">
        <v>1222</v>
      </c>
    </row>
    <row r="4" spans="1:5" x14ac:dyDescent="0.25">
      <c r="A4" t="s">
        <v>1214</v>
      </c>
      <c r="B4">
        <v>15</v>
      </c>
      <c r="D4" t="s">
        <v>1213</v>
      </c>
      <c r="E4" s="5">
        <v>730</v>
      </c>
    </row>
    <row r="5" spans="1:5" x14ac:dyDescent="0.25">
      <c r="A5" t="s">
        <v>1214</v>
      </c>
      <c r="B5">
        <v>5</v>
      </c>
      <c r="D5" t="s">
        <v>1215</v>
      </c>
      <c r="E5" s="5">
        <v>1020</v>
      </c>
    </row>
    <row r="6" spans="1:5" x14ac:dyDescent="0.25">
      <c r="A6" t="s">
        <v>1215</v>
      </c>
      <c r="B6">
        <v>15</v>
      </c>
      <c r="D6" t="s">
        <v>1214</v>
      </c>
      <c r="E6" s="5">
        <v>735</v>
      </c>
    </row>
    <row r="7" spans="1:5" x14ac:dyDescent="0.25">
      <c r="A7" t="s">
        <v>1213</v>
      </c>
      <c r="B7">
        <v>10</v>
      </c>
      <c r="D7" t="s">
        <v>1216</v>
      </c>
      <c r="E7" s="5">
        <v>675</v>
      </c>
    </row>
    <row r="8" spans="1:5" x14ac:dyDescent="0.25">
      <c r="A8" t="s">
        <v>1213</v>
      </c>
      <c r="B8">
        <v>15</v>
      </c>
    </row>
    <row r="9" spans="1:5" x14ac:dyDescent="0.25">
      <c r="A9" t="s">
        <v>1213</v>
      </c>
      <c r="B9">
        <v>0</v>
      </c>
    </row>
    <row r="10" spans="1:5" x14ac:dyDescent="0.25">
      <c r="A10" t="s">
        <v>1214</v>
      </c>
      <c r="B10">
        <v>10</v>
      </c>
    </row>
    <row r="11" spans="1:5" x14ac:dyDescent="0.25">
      <c r="A11" t="s">
        <v>1216</v>
      </c>
      <c r="B11">
        <v>25</v>
      </c>
    </row>
    <row r="12" spans="1:5" x14ac:dyDescent="0.25">
      <c r="A12" t="s">
        <v>1216</v>
      </c>
      <c r="B12">
        <v>0</v>
      </c>
    </row>
    <row r="13" spans="1:5" x14ac:dyDescent="0.25">
      <c r="A13" t="s">
        <v>1214</v>
      </c>
      <c r="B13">
        <v>20</v>
      </c>
    </row>
    <row r="14" spans="1:5" x14ac:dyDescent="0.25">
      <c r="A14" t="s">
        <v>1215</v>
      </c>
      <c r="B14">
        <v>10</v>
      </c>
    </row>
    <row r="15" spans="1:5" x14ac:dyDescent="0.25">
      <c r="A15" t="s">
        <v>1213</v>
      </c>
      <c r="B15">
        <v>20</v>
      </c>
    </row>
    <row r="16" spans="1:5" x14ac:dyDescent="0.25">
      <c r="A16" t="s">
        <v>1215</v>
      </c>
      <c r="B16">
        <v>20</v>
      </c>
    </row>
    <row r="17" spans="1:2" x14ac:dyDescent="0.25">
      <c r="A17" t="s">
        <v>1216</v>
      </c>
      <c r="B17">
        <v>0</v>
      </c>
    </row>
    <row r="18" spans="1:2" x14ac:dyDescent="0.25">
      <c r="A18" t="s">
        <v>1215</v>
      </c>
      <c r="B18">
        <v>25</v>
      </c>
    </row>
    <row r="19" spans="1:2" x14ac:dyDescent="0.25">
      <c r="A19" t="s">
        <v>1215</v>
      </c>
      <c r="B19">
        <v>20</v>
      </c>
    </row>
    <row r="20" spans="1:2" x14ac:dyDescent="0.25">
      <c r="A20" t="s">
        <v>1215</v>
      </c>
      <c r="B20">
        <v>15</v>
      </c>
    </row>
    <row r="21" spans="1:2" x14ac:dyDescent="0.25">
      <c r="A21" t="s">
        <v>1213</v>
      </c>
      <c r="B21">
        <v>20</v>
      </c>
    </row>
    <row r="22" spans="1:2" x14ac:dyDescent="0.25">
      <c r="A22" t="s">
        <v>1213</v>
      </c>
      <c r="B22">
        <v>10</v>
      </c>
    </row>
    <row r="23" spans="1:2" x14ac:dyDescent="0.25">
      <c r="A23" t="s">
        <v>1213</v>
      </c>
      <c r="B23">
        <v>25</v>
      </c>
    </row>
    <row r="24" spans="1:2" x14ac:dyDescent="0.25">
      <c r="A24" t="s">
        <v>1213</v>
      </c>
      <c r="B24">
        <v>20</v>
      </c>
    </row>
    <row r="25" spans="1:2" x14ac:dyDescent="0.25">
      <c r="A25" t="s">
        <v>1216</v>
      </c>
      <c r="B25">
        <v>15</v>
      </c>
    </row>
    <row r="26" spans="1:2" x14ac:dyDescent="0.25">
      <c r="A26" t="s">
        <v>1215</v>
      </c>
      <c r="B26">
        <v>10</v>
      </c>
    </row>
    <row r="27" spans="1:2" x14ac:dyDescent="0.25">
      <c r="A27" t="s">
        <v>1213</v>
      </c>
      <c r="B27">
        <v>5</v>
      </c>
    </row>
    <row r="28" spans="1:2" x14ac:dyDescent="0.25">
      <c r="A28" t="s">
        <v>1215</v>
      </c>
      <c r="B28">
        <v>15</v>
      </c>
    </row>
    <row r="29" spans="1:2" x14ac:dyDescent="0.25">
      <c r="A29" t="s">
        <v>1214</v>
      </c>
      <c r="B29">
        <v>20</v>
      </c>
    </row>
    <row r="30" spans="1:2" x14ac:dyDescent="0.25">
      <c r="A30" t="s">
        <v>1214</v>
      </c>
      <c r="B30">
        <v>15</v>
      </c>
    </row>
    <row r="31" spans="1:2" x14ac:dyDescent="0.25">
      <c r="A31" t="s">
        <v>1215</v>
      </c>
      <c r="B31">
        <v>25</v>
      </c>
    </row>
    <row r="32" spans="1:2" x14ac:dyDescent="0.25">
      <c r="A32" t="s">
        <v>1214</v>
      </c>
      <c r="B32">
        <v>10</v>
      </c>
    </row>
    <row r="33" spans="1:2" x14ac:dyDescent="0.25">
      <c r="A33" t="s">
        <v>1214</v>
      </c>
      <c r="B33">
        <v>20</v>
      </c>
    </row>
    <row r="34" spans="1:2" x14ac:dyDescent="0.25">
      <c r="A34" t="s">
        <v>1215</v>
      </c>
      <c r="B34">
        <v>25</v>
      </c>
    </row>
    <row r="35" spans="1:2" x14ac:dyDescent="0.25">
      <c r="A35" t="s">
        <v>1216</v>
      </c>
      <c r="B35">
        <v>0</v>
      </c>
    </row>
    <row r="36" spans="1:2" x14ac:dyDescent="0.25">
      <c r="A36" t="s">
        <v>1215</v>
      </c>
      <c r="B36">
        <v>10</v>
      </c>
    </row>
    <row r="37" spans="1:2" x14ac:dyDescent="0.25">
      <c r="A37" t="s">
        <v>1213</v>
      </c>
      <c r="B37">
        <v>10</v>
      </c>
    </row>
    <row r="38" spans="1:2" x14ac:dyDescent="0.25">
      <c r="A38" t="s">
        <v>1213</v>
      </c>
      <c r="B38">
        <v>5</v>
      </c>
    </row>
    <row r="39" spans="1:2" x14ac:dyDescent="0.25">
      <c r="A39" t="s">
        <v>1215</v>
      </c>
      <c r="B39">
        <v>0</v>
      </c>
    </row>
    <row r="40" spans="1:2" x14ac:dyDescent="0.25">
      <c r="A40" t="s">
        <v>1216</v>
      </c>
      <c r="B40">
        <v>0</v>
      </c>
    </row>
    <row r="41" spans="1:2" x14ac:dyDescent="0.25">
      <c r="A41" t="s">
        <v>1215</v>
      </c>
      <c r="B41">
        <v>20</v>
      </c>
    </row>
    <row r="42" spans="1:2" x14ac:dyDescent="0.25">
      <c r="A42" t="s">
        <v>1216</v>
      </c>
      <c r="B42">
        <v>0</v>
      </c>
    </row>
    <row r="43" spans="1:2" x14ac:dyDescent="0.25">
      <c r="A43" t="s">
        <v>1213</v>
      </c>
      <c r="B43">
        <v>5</v>
      </c>
    </row>
    <row r="44" spans="1:2" x14ac:dyDescent="0.25">
      <c r="A44" t="s">
        <v>1215</v>
      </c>
      <c r="B44">
        <v>0</v>
      </c>
    </row>
    <row r="45" spans="1:2" x14ac:dyDescent="0.25">
      <c r="A45" t="s">
        <v>1216</v>
      </c>
      <c r="B45">
        <v>0</v>
      </c>
    </row>
    <row r="46" spans="1:2" x14ac:dyDescent="0.25">
      <c r="A46" t="s">
        <v>1216</v>
      </c>
      <c r="B46">
        <v>25</v>
      </c>
    </row>
    <row r="47" spans="1:2" x14ac:dyDescent="0.25">
      <c r="A47" t="s">
        <v>1213</v>
      </c>
      <c r="B47">
        <v>15</v>
      </c>
    </row>
    <row r="48" spans="1:2" x14ac:dyDescent="0.25">
      <c r="A48" t="s">
        <v>1213</v>
      </c>
      <c r="B48">
        <v>10</v>
      </c>
    </row>
    <row r="49" spans="1:2" x14ac:dyDescent="0.25">
      <c r="A49" t="s">
        <v>1215</v>
      </c>
      <c r="B49">
        <v>0</v>
      </c>
    </row>
    <row r="50" spans="1:2" x14ac:dyDescent="0.25">
      <c r="A50" t="s">
        <v>1213</v>
      </c>
      <c r="B50">
        <v>25</v>
      </c>
    </row>
    <row r="51" spans="1:2" x14ac:dyDescent="0.25">
      <c r="A51" t="s">
        <v>1216</v>
      </c>
      <c r="B51">
        <v>0</v>
      </c>
    </row>
    <row r="52" spans="1:2" x14ac:dyDescent="0.25">
      <c r="A52" t="s">
        <v>1214</v>
      </c>
      <c r="B52">
        <v>10</v>
      </c>
    </row>
    <row r="53" spans="1:2" x14ac:dyDescent="0.25">
      <c r="A53" t="s">
        <v>1215</v>
      </c>
      <c r="B53">
        <v>25</v>
      </c>
    </row>
    <row r="54" spans="1:2" x14ac:dyDescent="0.25">
      <c r="A54" t="s">
        <v>1214</v>
      </c>
      <c r="B54">
        <v>25</v>
      </c>
    </row>
    <row r="55" spans="1:2" x14ac:dyDescent="0.25">
      <c r="A55" t="s">
        <v>1215</v>
      </c>
      <c r="B55">
        <v>5</v>
      </c>
    </row>
    <row r="56" spans="1:2" x14ac:dyDescent="0.25">
      <c r="A56" t="s">
        <v>1216</v>
      </c>
      <c r="B56">
        <v>20</v>
      </c>
    </row>
    <row r="57" spans="1:2" x14ac:dyDescent="0.25">
      <c r="A57" t="s">
        <v>1215</v>
      </c>
      <c r="B57">
        <v>25</v>
      </c>
    </row>
    <row r="58" spans="1:2" x14ac:dyDescent="0.25">
      <c r="A58" t="s">
        <v>1215</v>
      </c>
      <c r="B58">
        <v>10</v>
      </c>
    </row>
    <row r="59" spans="1:2" x14ac:dyDescent="0.25">
      <c r="A59" t="s">
        <v>1213</v>
      </c>
      <c r="B59">
        <v>5</v>
      </c>
    </row>
    <row r="60" spans="1:2" x14ac:dyDescent="0.25">
      <c r="A60" t="s">
        <v>1216</v>
      </c>
      <c r="B60">
        <v>15</v>
      </c>
    </row>
    <row r="61" spans="1:2" x14ac:dyDescent="0.25">
      <c r="A61" t="s">
        <v>1213</v>
      </c>
      <c r="B61">
        <v>5</v>
      </c>
    </row>
    <row r="62" spans="1:2" x14ac:dyDescent="0.25">
      <c r="A62" t="s">
        <v>1213</v>
      </c>
      <c r="B62">
        <v>5</v>
      </c>
    </row>
    <row r="63" spans="1:2" x14ac:dyDescent="0.25">
      <c r="A63" t="s">
        <v>1214</v>
      </c>
      <c r="B63">
        <v>10</v>
      </c>
    </row>
    <row r="64" spans="1:2" x14ac:dyDescent="0.25">
      <c r="A64" t="s">
        <v>1213</v>
      </c>
      <c r="B64">
        <v>10</v>
      </c>
    </row>
    <row r="65" spans="1:2" x14ac:dyDescent="0.25">
      <c r="A65" t="s">
        <v>1215</v>
      </c>
      <c r="B65">
        <v>25</v>
      </c>
    </row>
    <row r="66" spans="1:2" x14ac:dyDescent="0.25">
      <c r="A66" t="s">
        <v>1216</v>
      </c>
      <c r="B66">
        <v>10</v>
      </c>
    </row>
    <row r="67" spans="1:2" x14ac:dyDescent="0.25">
      <c r="A67" t="s">
        <v>1215</v>
      </c>
      <c r="B67">
        <v>5</v>
      </c>
    </row>
    <row r="68" spans="1:2" x14ac:dyDescent="0.25">
      <c r="A68" t="s">
        <v>1215</v>
      </c>
      <c r="B68">
        <v>25</v>
      </c>
    </row>
    <row r="69" spans="1:2" x14ac:dyDescent="0.25">
      <c r="A69" t="s">
        <v>1214</v>
      </c>
      <c r="B69">
        <v>5</v>
      </c>
    </row>
    <row r="70" spans="1:2" x14ac:dyDescent="0.25">
      <c r="A70" t="s">
        <v>1216</v>
      </c>
      <c r="B70">
        <v>0</v>
      </c>
    </row>
    <row r="71" spans="1:2" x14ac:dyDescent="0.25">
      <c r="A71" t="s">
        <v>1216</v>
      </c>
      <c r="B71">
        <v>25</v>
      </c>
    </row>
    <row r="72" spans="1:2" x14ac:dyDescent="0.25">
      <c r="A72" t="s">
        <v>1215</v>
      </c>
      <c r="B72">
        <v>10</v>
      </c>
    </row>
    <row r="73" spans="1:2" x14ac:dyDescent="0.25">
      <c r="A73" t="s">
        <v>1214</v>
      </c>
      <c r="B73">
        <v>15</v>
      </c>
    </row>
    <row r="74" spans="1:2" x14ac:dyDescent="0.25">
      <c r="A74" t="s">
        <v>1215</v>
      </c>
      <c r="B74">
        <v>0</v>
      </c>
    </row>
    <row r="75" spans="1:2" x14ac:dyDescent="0.25">
      <c r="A75" t="s">
        <v>1213</v>
      </c>
      <c r="B75">
        <v>0</v>
      </c>
    </row>
    <row r="76" spans="1:2" x14ac:dyDescent="0.25">
      <c r="A76" t="s">
        <v>1213</v>
      </c>
      <c r="B76">
        <v>25</v>
      </c>
    </row>
    <row r="77" spans="1:2" x14ac:dyDescent="0.25">
      <c r="A77" t="s">
        <v>1214</v>
      </c>
      <c r="B77">
        <v>15</v>
      </c>
    </row>
    <row r="78" spans="1:2" x14ac:dyDescent="0.25">
      <c r="A78" t="s">
        <v>1213</v>
      </c>
      <c r="B78">
        <v>0</v>
      </c>
    </row>
    <row r="79" spans="1:2" x14ac:dyDescent="0.25">
      <c r="A79" t="s">
        <v>1215</v>
      </c>
      <c r="B79">
        <v>5</v>
      </c>
    </row>
    <row r="80" spans="1:2" x14ac:dyDescent="0.25">
      <c r="A80" t="s">
        <v>1214</v>
      </c>
      <c r="B80">
        <v>0</v>
      </c>
    </row>
    <row r="81" spans="1:2" x14ac:dyDescent="0.25">
      <c r="A81" t="s">
        <v>1216</v>
      </c>
      <c r="B81">
        <v>5</v>
      </c>
    </row>
    <row r="82" spans="1:2" x14ac:dyDescent="0.25">
      <c r="A82" t="s">
        <v>1214</v>
      </c>
      <c r="B82">
        <v>10</v>
      </c>
    </row>
    <row r="83" spans="1:2" x14ac:dyDescent="0.25">
      <c r="A83" t="s">
        <v>1214</v>
      </c>
      <c r="B83">
        <v>0</v>
      </c>
    </row>
    <row r="84" spans="1:2" x14ac:dyDescent="0.25">
      <c r="A84" t="s">
        <v>1214</v>
      </c>
      <c r="B84">
        <v>20</v>
      </c>
    </row>
    <row r="85" spans="1:2" x14ac:dyDescent="0.25">
      <c r="A85" t="s">
        <v>1216</v>
      </c>
      <c r="B85">
        <v>20</v>
      </c>
    </row>
    <row r="86" spans="1:2" x14ac:dyDescent="0.25">
      <c r="A86" t="s">
        <v>1214</v>
      </c>
      <c r="B86">
        <v>20</v>
      </c>
    </row>
    <row r="87" spans="1:2" x14ac:dyDescent="0.25">
      <c r="A87" t="s">
        <v>1216</v>
      </c>
      <c r="B87">
        <v>20</v>
      </c>
    </row>
    <row r="88" spans="1:2" x14ac:dyDescent="0.25">
      <c r="A88" t="s">
        <v>1216</v>
      </c>
      <c r="B88">
        <v>0</v>
      </c>
    </row>
    <row r="89" spans="1:2" x14ac:dyDescent="0.25">
      <c r="A89" t="s">
        <v>1215</v>
      </c>
      <c r="B89">
        <v>5</v>
      </c>
    </row>
    <row r="90" spans="1:2" x14ac:dyDescent="0.25">
      <c r="A90" t="s">
        <v>1215</v>
      </c>
      <c r="B90">
        <v>20</v>
      </c>
    </row>
    <row r="91" spans="1:2" x14ac:dyDescent="0.25">
      <c r="A91" t="s">
        <v>1214</v>
      </c>
      <c r="B91">
        <v>15</v>
      </c>
    </row>
    <row r="92" spans="1:2" x14ac:dyDescent="0.25">
      <c r="A92" t="s">
        <v>1214</v>
      </c>
      <c r="B92">
        <v>15</v>
      </c>
    </row>
    <row r="93" spans="1:2" x14ac:dyDescent="0.25">
      <c r="A93" t="s">
        <v>1214</v>
      </c>
      <c r="B93">
        <v>0</v>
      </c>
    </row>
    <row r="94" spans="1:2" x14ac:dyDescent="0.25">
      <c r="A94" t="s">
        <v>1213</v>
      </c>
      <c r="B94">
        <v>25</v>
      </c>
    </row>
    <row r="95" spans="1:2" x14ac:dyDescent="0.25">
      <c r="A95" t="s">
        <v>1215</v>
      </c>
      <c r="B95">
        <v>10</v>
      </c>
    </row>
    <row r="96" spans="1:2" x14ac:dyDescent="0.25">
      <c r="A96" t="s">
        <v>1213</v>
      </c>
      <c r="B96">
        <v>20</v>
      </c>
    </row>
    <row r="97" spans="1:2" x14ac:dyDescent="0.25">
      <c r="A97" t="s">
        <v>1215</v>
      </c>
      <c r="B97">
        <v>25</v>
      </c>
    </row>
    <row r="98" spans="1:2" x14ac:dyDescent="0.25">
      <c r="A98" t="s">
        <v>1214</v>
      </c>
      <c r="B98">
        <v>0</v>
      </c>
    </row>
    <row r="99" spans="1:2" x14ac:dyDescent="0.25">
      <c r="A99" t="s">
        <v>1214</v>
      </c>
      <c r="B99">
        <v>15</v>
      </c>
    </row>
    <row r="100" spans="1:2" x14ac:dyDescent="0.25">
      <c r="A100" t="s">
        <v>1213</v>
      </c>
      <c r="B100">
        <v>0</v>
      </c>
    </row>
    <row r="101" spans="1:2" x14ac:dyDescent="0.25">
      <c r="A101" t="s">
        <v>1215</v>
      </c>
      <c r="B101">
        <v>5</v>
      </c>
    </row>
    <row r="102" spans="1:2" x14ac:dyDescent="0.25">
      <c r="A102" t="s">
        <v>1214</v>
      </c>
      <c r="B102">
        <v>5</v>
      </c>
    </row>
    <row r="103" spans="1:2" x14ac:dyDescent="0.25">
      <c r="A103" t="s">
        <v>1213</v>
      </c>
      <c r="B103">
        <v>10</v>
      </c>
    </row>
    <row r="104" spans="1:2" x14ac:dyDescent="0.25">
      <c r="A104" t="s">
        <v>1214</v>
      </c>
      <c r="B104">
        <v>20</v>
      </c>
    </row>
    <row r="105" spans="1:2" x14ac:dyDescent="0.25">
      <c r="A105" t="s">
        <v>1213</v>
      </c>
      <c r="B105">
        <v>0</v>
      </c>
    </row>
    <row r="106" spans="1:2" x14ac:dyDescent="0.25">
      <c r="A106" t="s">
        <v>1214</v>
      </c>
      <c r="B106">
        <v>5</v>
      </c>
    </row>
    <row r="107" spans="1:2" x14ac:dyDescent="0.25">
      <c r="A107" t="s">
        <v>1216</v>
      </c>
      <c r="B107">
        <v>10</v>
      </c>
    </row>
    <row r="108" spans="1:2" x14ac:dyDescent="0.25">
      <c r="A108" t="s">
        <v>1215</v>
      </c>
      <c r="B108">
        <v>10</v>
      </c>
    </row>
    <row r="109" spans="1:2" x14ac:dyDescent="0.25">
      <c r="A109" t="s">
        <v>1214</v>
      </c>
      <c r="B109">
        <v>20</v>
      </c>
    </row>
    <row r="110" spans="1:2" x14ac:dyDescent="0.25">
      <c r="A110" t="s">
        <v>1215</v>
      </c>
      <c r="B110">
        <v>15</v>
      </c>
    </row>
    <row r="111" spans="1:2" x14ac:dyDescent="0.25">
      <c r="A111" t="s">
        <v>1216</v>
      </c>
      <c r="B111">
        <v>0</v>
      </c>
    </row>
    <row r="112" spans="1:2" x14ac:dyDescent="0.25">
      <c r="A112" t="s">
        <v>1216</v>
      </c>
      <c r="B112">
        <v>0</v>
      </c>
    </row>
    <row r="113" spans="1:2" x14ac:dyDescent="0.25">
      <c r="A113" t="s">
        <v>1214</v>
      </c>
      <c r="B113">
        <v>5</v>
      </c>
    </row>
    <row r="114" spans="1:2" x14ac:dyDescent="0.25">
      <c r="A114" t="s">
        <v>1215</v>
      </c>
      <c r="B114">
        <v>10</v>
      </c>
    </row>
    <row r="115" spans="1:2" x14ac:dyDescent="0.25">
      <c r="A115" t="s">
        <v>1213</v>
      </c>
      <c r="B115">
        <v>5</v>
      </c>
    </row>
    <row r="116" spans="1:2" x14ac:dyDescent="0.25">
      <c r="A116" t="s">
        <v>1216</v>
      </c>
      <c r="B116">
        <v>0</v>
      </c>
    </row>
    <row r="117" spans="1:2" x14ac:dyDescent="0.25">
      <c r="A117" t="s">
        <v>1214</v>
      </c>
      <c r="B117">
        <v>10</v>
      </c>
    </row>
    <row r="118" spans="1:2" x14ac:dyDescent="0.25">
      <c r="A118" t="s">
        <v>1214</v>
      </c>
      <c r="B118">
        <v>0</v>
      </c>
    </row>
    <row r="119" spans="1:2" x14ac:dyDescent="0.25">
      <c r="A119" t="s">
        <v>1216</v>
      </c>
      <c r="B119">
        <v>0</v>
      </c>
    </row>
    <row r="120" spans="1:2" x14ac:dyDescent="0.25">
      <c r="A120" t="s">
        <v>1213</v>
      </c>
      <c r="B120">
        <v>20</v>
      </c>
    </row>
    <row r="121" spans="1:2" x14ac:dyDescent="0.25">
      <c r="A121" t="s">
        <v>1213</v>
      </c>
      <c r="B121">
        <v>5</v>
      </c>
    </row>
    <row r="122" spans="1:2" x14ac:dyDescent="0.25">
      <c r="A122" t="s">
        <v>1214</v>
      </c>
      <c r="B122">
        <v>0</v>
      </c>
    </row>
    <row r="123" spans="1:2" x14ac:dyDescent="0.25">
      <c r="A123" t="s">
        <v>1215</v>
      </c>
      <c r="B123">
        <v>20</v>
      </c>
    </row>
    <row r="124" spans="1:2" x14ac:dyDescent="0.25">
      <c r="A124" t="s">
        <v>1213</v>
      </c>
      <c r="B124">
        <v>0</v>
      </c>
    </row>
    <row r="125" spans="1:2" x14ac:dyDescent="0.25">
      <c r="A125" t="s">
        <v>1216</v>
      </c>
      <c r="B125">
        <v>15</v>
      </c>
    </row>
    <row r="126" spans="1:2" x14ac:dyDescent="0.25">
      <c r="A126" t="s">
        <v>1216</v>
      </c>
      <c r="B126">
        <v>5</v>
      </c>
    </row>
    <row r="127" spans="1:2" x14ac:dyDescent="0.25">
      <c r="A127" t="s">
        <v>1214</v>
      </c>
      <c r="B127">
        <v>0</v>
      </c>
    </row>
    <row r="128" spans="1:2" x14ac:dyDescent="0.25">
      <c r="A128" t="s">
        <v>1214</v>
      </c>
      <c r="B128">
        <v>20</v>
      </c>
    </row>
    <row r="129" spans="1:2" x14ac:dyDescent="0.25">
      <c r="A129" t="s">
        <v>1214</v>
      </c>
      <c r="B129">
        <v>0</v>
      </c>
    </row>
    <row r="130" spans="1:2" x14ac:dyDescent="0.25">
      <c r="A130" t="s">
        <v>1216</v>
      </c>
      <c r="B130">
        <v>25</v>
      </c>
    </row>
    <row r="131" spans="1:2" x14ac:dyDescent="0.25">
      <c r="A131" t="s">
        <v>1214</v>
      </c>
      <c r="B131">
        <v>10</v>
      </c>
    </row>
    <row r="132" spans="1:2" x14ac:dyDescent="0.25">
      <c r="A132" t="s">
        <v>1214</v>
      </c>
      <c r="B132">
        <v>0</v>
      </c>
    </row>
    <row r="133" spans="1:2" x14ac:dyDescent="0.25">
      <c r="A133" t="s">
        <v>1215</v>
      </c>
      <c r="B133">
        <v>10</v>
      </c>
    </row>
    <row r="134" spans="1:2" x14ac:dyDescent="0.25">
      <c r="A134" t="s">
        <v>1216</v>
      </c>
      <c r="B134">
        <v>25</v>
      </c>
    </row>
    <row r="135" spans="1:2" x14ac:dyDescent="0.25">
      <c r="A135" t="s">
        <v>1216</v>
      </c>
      <c r="B135">
        <v>20</v>
      </c>
    </row>
    <row r="136" spans="1:2" x14ac:dyDescent="0.25">
      <c r="A136" t="s">
        <v>1215</v>
      </c>
      <c r="B136">
        <v>15</v>
      </c>
    </row>
    <row r="137" spans="1:2" x14ac:dyDescent="0.25">
      <c r="A137" t="s">
        <v>1214</v>
      </c>
      <c r="B137">
        <v>0</v>
      </c>
    </row>
    <row r="138" spans="1:2" x14ac:dyDescent="0.25">
      <c r="A138" t="s">
        <v>1216</v>
      </c>
      <c r="B138">
        <v>0</v>
      </c>
    </row>
    <row r="139" spans="1:2" x14ac:dyDescent="0.25">
      <c r="A139" t="s">
        <v>1215</v>
      </c>
      <c r="B139">
        <v>5</v>
      </c>
    </row>
    <row r="140" spans="1:2" x14ac:dyDescent="0.25">
      <c r="A140" t="s">
        <v>1215</v>
      </c>
      <c r="B140">
        <v>0</v>
      </c>
    </row>
    <row r="141" spans="1:2" x14ac:dyDescent="0.25">
      <c r="A141" t="s">
        <v>1213</v>
      </c>
      <c r="B141">
        <v>0</v>
      </c>
    </row>
    <row r="142" spans="1:2" x14ac:dyDescent="0.25">
      <c r="A142" t="s">
        <v>1216</v>
      </c>
      <c r="B142">
        <v>5</v>
      </c>
    </row>
    <row r="143" spans="1:2" x14ac:dyDescent="0.25">
      <c r="A143" t="s">
        <v>1216</v>
      </c>
      <c r="B143">
        <v>0</v>
      </c>
    </row>
    <row r="144" spans="1:2" x14ac:dyDescent="0.25">
      <c r="A144" t="s">
        <v>1213</v>
      </c>
      <c r="B144">
        <v>5</v>
      </c>
    </row>
    <row r="145" spans="1:2" x14ac:dyDescent="0.25">
      <c r="A145" t="s">
        <v>1216</v>
      </c>
      <c r="B145">
        <v>25</v>
      </c>
    </row>
    <row r="146" spans="1:2" x14ac:dyDescent="0.25">
      <c r="A146" t="s">
        <v>1213</v>
      </c>
      <c r="B146">
        <v>5</v>
      </c>
    </row>
    <row r="147" spans="1:2" x14ac:dyDescent="0.25">
      <c r="A147" t="s">
        <v>1216</v>
      </c>
      <c r="B147">
        <v>10</v>
      </c>
    </row>
    <row r="148" spans="1:2" x14ac:dyDescent="0.25">
      <c r="A148" t="s">
        <v>1213</v>
      </c>
      <c r="B148">
        <v>20</v>
      </c>
    </row>
    <row r="149" spans="1:2" x14ac:dyDescent="0.25">
      <c r="A149" t="s">
        <v>1213</v>
      </c>
      <c r="B149">
        <v>10</v>
      </c>
    </row>
    <row r="150" spans="1:2" x14ac:dyDescent="0.25">
      <c r="A150" t="s">
        <v>1214</v>
      </c>
      <c r="B150">
        <v>5</v>
      </c>
    </row>
    <row r="151" spans="1:2" x14ac:dyDescent="0.25">
      <c r="A151" t="s">
        <v>1216</v>
      </c>
      <c r="B151">
        <v>5</v>
      </c>
    </row>
    <row r="152" spans="1:2" x14ac:dyDescent="0.25">
      <c r="A152" t="s">
        <v>1215</v>
      </c>
      <c r="B152">
        <v>10</v>
      </c>
    </row>
    <row r="153" spans="1:2" x14ac:dyDescent="0.25">
      <c r="A153" t="s">
        <v>1215</v>
      </c>
      <c r="B153">
        <v>0</v>
      </c>
    </row>
    <row r="154" spans="1:2" x14ac:dyDescent="0.25">
      <c r="A154" t="s">
        <v>1215</v>
      </c>
      <c r="B154">
        <v>10</v>
      </c>
    </row>
    <row r="155" spans="1:2" x14ac:dyDescent="0.25">
      <c r="A155" t="s">
        <v>1216</v>
      </c>
      <c r="B155">
        <v>20</v>
      </c>
    </row>
    <row r="156" spans="1:2" x14ac:dyDescent="0.25">
      <c r="A156" t="s">
        <v>1215</v>
      </c>
      <c r="B156">
        <v>10</v>
      </c>
    </row>
    <row r="157" spans="1:2" x14ac:dyDescent="0.25">
      <c r="A157" t="s">
        <v>1215</v>
      </c>
      <c r="B157">
        <v>0</v>
      </c>
    </row>
    <row r="158" spans="1:2" x14ac:dyDescent="0.25">
      <c r="A158" t="s">
        <v>1214</v>
      </c>
      <c r="B158">
        <v>0</v>
      </c>
    </row>
    <row r="159" spans="1:2" x14ac:dyDescent="0.25">
      <c r="A159" t="s">
        <v>1215</v>
      </c>
      <c r="B159">
        <v>15</v>
      </c>
    </row>
    <row r="160" spans="1:2" x14ac:dyDescent="0.25">
      <c r="A160" t="s">
        <v>1214</v>
      </c>
      <c r="B160">
        <v>15</v>
      </c>
    </row>
    <row r="161" spans="1:2" x14ac:dyDescent="0.25">
      <c r="A161" t="s">
        <v>1215</v>
      </c>
      <c r="B161">
        <v>25</v>
      </c>
    </row>
    <row r="162" spans="1:2" x14ac:dyDescent="0.25">
      <c r="A162" t="s">
        <v>1214</v>
      </c>
      <c r="B162">
        <v>5</v>
      </c>
    </row>
    <row r="163" spans="1:2" x14ac:dyDescent="0.25">
      <c r="A163" t="s">
        <v>1214</v>
      </c>
      <c r="B163">
        <v>0</v>
      </c>
    </row>
    <row r="164" spans="1:2" x14ac:dyDescent="0.25">
      <c r="A164" t="s">
        <v>1215</v>
      </c>
      <c r="B164">
        <v>10</v>
      </c>
    </row>
    <row r="165" spans="1:2" x14ac:dyDescent="0.25">
      <c r="A165" t="s">
        <v>1214</v>
      </c>
      <c r="B165">
        <v>0</v>
      </c>
    </row>
    <row r="166" spans="1:2" x14ac:dyDescent="0.25">
      <c r="A166" t="s">
        <v>1215</v>
      </c>
      <c r="B166">
        <v>20</v>
      </c>
    </row>
    <row r="167" spans="1:2" x14ac:dyDescent="0.25">
      <c r="A167" t="s">
        <v>1213</v>
      </c>
      <c r="B167">
        <v>15</v>
      </c>
    </row>
    <row r="168" spans="1:2" x14ac:dyDescent="0.25">
      <c r="A168" t="s">
        <v>1215</v>
      </c>
      <c r="B168">
        <v>5</v>
      </c>
    </row>
    <row r="169" spans="1:2" x14ac:dyDescent="0.25">
      <c r="A169" t="s">
        <v>1215</v>
      </c>
      <c r="B169">
        <v>0</v>
      </c>
    </row>
    <row r="170" spans="1:2" x14ac:dyDescent="0.25">
      <c r="A170" t="s">
        <v>1213</v>
      </c>
      <c r="B170">
        <v>15</v>
      </c>
    </row>
    <row r="171" spans="1:2" x14ac:dyDescent="0.25">
      <c r="A171" t="s">
        <v>1213</v>
      </c>
      <c r="B171">
        <v>0</v>
      </c>
    </row>
    <row r="172" spans="1:2" x14ac:dyDescent="0.25">
      <c r="A172" t="s">
        <v>1216</v>
      </c>
      <c r="B172">
        <v>10</v>
      </c>
    </row>
    <row r="173" spans="1:2" x14ac:dyDescent="0.25">
      <c r="A173" t="s">
        <v>1214</v>
      </c>
      <c r="B173">
        <v>0</v>
      </c>
    </row>
    <row r="174" spans="1:2" x14ac:dyDescent="0.25">
      <c r="A174" t="s">
        <v>1215</v>
      </c>
      <c r="B174">
        <v>0</v>
      </c>
    </row>
    <row r="175" spans="1:2" x14ac:dyDescent="0.25">
      <c r="A175" t="s">
        <v>1213</v>
      </c>
      <c r="B175">
        <v>15</v>
      </c>
    </row>
    <row r="176" spans="1:2" x14ac:dyDescent="0.25">
      <c r="A176" t="s">
        <v>1213</v>
      </c>
      <c r="B176">
        <v>0</v>
      </c>
    </row>
    <row r="177" spans="1:2" x14ac:dyDescent="0.25">
      <c r="A177" t="s">
        <v>1213</v>
      </c>
      <c r="B177">
        <v>20</v>
      </c>
    </row>
    <row r="178" spans="1:2" x14ac:dyDescent="0.25">
      <c r="A178" t="s">
        <v>1213</v>
      </c>
      <c r="B178">
        <v>25</v>
      </c>
    </row>
    <row r="179" spans="1:2" x14ac:dyDescent="0.25">
      <c r="A179" t="s">
        <v>1215</v>
      </c>
      <c r="B179">
        <v>20</v>
      </c>
    </row>
    <row r="180" spans="1:2" x14ac:dyDescent="0.25">
      <c r="A180" t="s">
        <v>1213</v>
      </c>
      <c r="B180">
        <v>5</v>
      </c>
    </row>
    <row r="181" spans="1:2" x14ac:dyDescent="0.25">
      <c r="A181" t="s">
        <v>1215</v>
      </c>
      <c r="B181">
        <v>25</v>
      </c>
    </row>
    <row r="182" spans="1:2" x14ac:dyDescent="0.25">
      <c r="A182" t="s">
        <v>1216</v>
      </c>
      <c r="B182">
        <v>5</v>
      </c>
    </row>
    <row r="183" spans="1:2" x14ac:dyDescent="0.25">
      <c r="A183" t="s">
        <v>1216</v>
      </c>
      <c r="B183">
        <v>20</v>
      </c>
    </row>
    <row r="184" spans="1:2" x14ac:dyDescent="0.25">
      <c r="A184" t="s">
        <v>1214</v>
      </c>
      <c r="B184">
        <v>10</v>
      </c>
    </row>
    <row r="185" spans="1:2" x14ac:dyDescent="0.25">
      <c r="A185" t="s">
        <v>1215</v>
      </c>
      <c r="B185">
        <v>20</v>
      </c>
    </row>
    <row r="186" spans="1:2" x14ac:dyDescent="0.25">
      <c r="A186" t="s">
        <v>1216</v>
      </c>
      <c r="B186">
        <v>15</v>
      </c>
    </row>
    <row r="187" spans="1:2" x14ac:dyDescent="0.25">
      <c r="A187" t="s">
        <v>1216</v>
      </c>
      <c r="B187">
        <v>0</v>
      </c>
    </row>
    <row r="188" spans="1:2" x14ac:dyDescent="0.25">
      <c r="A188" t="s">
        <v>1216</v>
      </c>
      <c r="B188">
        <v>25</v>
      </c>
    </row>
    <row r="189" spans="1:2" x14ac:dyDescent="0.25">
      <c r="A189" t="s">
        <v>1215</v>
      </c>
      <c r="B189">
        <v>5</v>
      </c>
    </row>
    <row r="190" spans="1:2" x14ac:dyDescent="0.25">
      <c r="A190" t="s">
        <v>1214</v>
      </c>
      <c r="B190">
        <v>25</v>
      </c>
    </row>
    <row r="191" spans="1:2" x14ac:dyDescent="0.25">
      <c r="A191" t="s">
        <v>1215</v>
      </c>
      <c r="B191">
        <v>25</v>
      </c>
    </row>
    <row r="192" spans="1:2" x14ac:dyDescent="0.25">
      <c r="A192" t="s">
        <v>1214</v>
      </c>
      <c r="B192">
        <v>15</v>
      </c>
    </row>
    <row r="193" spans="1:2" x14ac:dyDescent="0.25">
      <c r="A193" t="s">
        <v>1213</v>
      </c>
      <c r="B193">
        <v>0</v>
      </c>
    </row>
    <row r="194" spans="1:2" x14ac:dyDescent="0.25">
      <c r="A194" t="s">
        <v>1214</v>
      </c>
      <c r="B194">
        <v>15</v>
      </c>
    </row>
    <row r="195" spans="1:2" x14ac:dyDescent="0.25">
      <c r="A195" t="s">
        <v>1215</v>
      </c>
      <c r="B195">
        <v>0</v>
      </c>
    </row>
    <row r="196" spans="1:2" x14ac:dyDescent="0.25">
      <c r="A196" t="s">
        <v>1214</v>
      </c>
      <c r="B196">
        <v>5</v>
      </c>
    </row>
    <row r="197" spans="1:2" x14ac:dyDescent="0.25">
      <c r="A197" t="s">
        <v>1215</v>
      </c>
      <c r="B197">
        <v>25</v>
      </c>
    </row>
    <row r="198" spans="1:2" x14ac:dyDescent="0.25">
      <c r="A198" t="s">
        <v>1216</v>
      </c>
      <c r="B198">
        <v>15</v>
      </c>
    </row>
    <row r="199" spans="1:2" x14ac:dyDescent="0.25">
      <c r="A199" t="s">
        <v>1214</v>
      </c>
      <c r="B199">
        <v>25</v>
      </c>
    </row>
    <row r="200" spans="1:2" x14ac:dyDescent="0.25">
      <c r="A200" t="s">
        <v>1215</v>
      </c>
      <c r="B200">
        <v>0</v>
      </c>
    </row>
    <row r="201" spans="1:2" x14ac:dyDescent="0.25">
      <c r="A201" t="s">
        <v>1216</v>
      </c>
      <c r="B201">
        <v>5</v>
      </c>
    </row>
    <row r="202" spans="1:2" x14ac:dyDescent="0.25">
      <c r="A202" t="s">
        <v>1214</v>
      </c>
      <c r="B202">
        <v>0</v>
      </c>
    </row>
    <row r="203" spans="1:2" x14ac:dyDescent="0.25">
      <c r="A203" t="s">
        <v>1214</v>
      </c>
      <c r="B203">
        <v>10</v>
      </c>
    </row>
    <row r="204" spans="1:2" x14ac:dyDescent="0.25">
      <c r="A204" t="s">
        <v>1215</v>
      </c>
      <c r="B204">
        <v>25</v>
      </c>
    </row>
    <row r="205" spans="1:2" x14ac:dyDescent="0.25">
      <c r="A205" t="s">
        <v>1215</v>
      </c>
      <c r="B205">
        <v>5</v>
      </c>
    </row>
    <row r="206" spans="1:2" x14ac:dyDescent="0.25">
      <c r="A206" t="s">
        <v>1216</v>
      </c>
      <c r="B206">
        <v>15</v>
      </c>
    </row>
    <row r="207" spans="1:2" x14ac:dyDescent="0.25">
      <c r="A207" t="s">
        <v>1215</v>
      </c>
      <c r="B207">
        <v>20</v>
      </c>
    </row>
    <row r="208" spans="1:2" x14ac:dyDescent="0.25">
      <c r="A208" t="s">
        <v>1214</v>
      </c>
      <c r="B208">
        <v>0</v>
      </c>
    </row>
    <row r="209" spans="1:2" x14ac:dyDescent="0.25">
      <c r="A209" t="s">
        <v>1215</v>
      </c>
      <c r="B209">
        <v>15</v>
      </c>
    </row>
    <row r="210" spans="1:2" x14ac:dyDescent="0.25">
      <c r="A210" t="s">
        <v>1216</v>
      </c>
      <c r="B210">
        <v>20</v>
      </c>
    </row>
    <row r="211" spans="1:2" x14ac:dyDescent="0.25">
      <c r="A211" t="s">
        <v>1214</v>
      </c>
      <c r="B211">
        <v>0</v>
      </c>
    </row>
    <row r="212" spans="1:2" x14ac:dyDescent="0.25">
      <c r="A212" t="s">
        <v>1213</v>
      </c>
      <c r="B212">
        <v>0</v>
      </c>
    </row>
    <row r="213" spans="1:2" x14ac:dyDescent="0.25">
      <c r="A213" t="s">
        <v>1215</v>
      </c>
      <c r="B213">
        <v>15</v>
      </c>
    </row>
    <row r="214" spans="1:2" x14ac:dyDescent="0.25">
      <c r="A214" t="s">
        <v>1213</v>
      </c>
      <c r="B214">
        <v>10</v>
      </c>
    </row>
    <row r="215" spans="1:2" x14ac:dyDescent="0.25">
      <c r="A215" t="s">
        <v>1216</v>
      </c>
      <c r="B215">
        <v>0</v>
      </c>
    </row>
    <row r="216" spans="1:2" x14ac:dyDescent="0.25">
      <c r="A216" t="s">
        <v>1214</v>
      </c>
      <c r="B216">
        <v>25</v>
      </c>
    </row>
    <row r="217" spans="1:2" x14ac:dyDescent="0.25">
      <c r="A217" t="s">
        <v>1213</v>
      </c>
      <c r="B217">
        <v>5</v>
      </c>
    </row>
    <row r="218" spans="1:2" x14ac:dyDescent="0.25">
      <c r="A218" t="s">
        <v>1213</v>
      </c>
      <c r="B218">
        <v>10</v>
      </c>
    </row>
    <row r="219" spans="1:2" x14ac:dyDescent="0.25">
      <c r="A219" t="s">
        <v>1215</v>
      </c>
      <c r="B219">
        <v>20</v>
      </c>
    </row>
    <row r="220" spans="1:2" x14ac:dyDescent="0.25">
      <c r="A220" t="s">
        <v>1215</v>
      </c>
      <c r="B220">
        <v>15</v>
      </c>
    </row>
    <row r="221" spans="1:2" x14ac:dyDescent="0.25">
      <c r="A221" t="s">
        <v>1215</v>
      </c>
      <c r="B221">
        <v>0</v>
      </c>
    </row>
    <row r="222" spans="1:2" x14ac:dyDescent="0.25">
      <c r="A222" t="s">
        <v>1214</v>
      </c>
      <c r="B222">
        <v>0</v>
      </c>
    </row>
    <row r="223" spans="1:2" x14ac:dyDescent="0.25">
      <c r="A223" t="s">
        <v>1213</v>
      </c>
      <c r="B223">
        <v>25</v>
      </c>
    </row>
    <row r="224" spans="1:2" x14ac:dyDescent="0.25">
      <c r="A224" t="s">
        <v>1213</v>
      </c>
      <c r="B224">
        <v>5</v>
      </c>
    </row>
    <row r="225" spans="1:2" x14ac:dyDescent="0.25">
      <c r="A225" t="s">
        <v>1215</v>
      </c>
      <c r="B225">
        <v>0</v>
      </c>
    </row>
    <row r="226" spans="1:2" x14ac:dyDescent="0.25">
      <c r="A226" t="s">
        <v>1216</v>
      </c>
      <c r="B226">
        <v>25</v>
      </c>
    </row>
    <row r="227" spans="1:2" x14ac:dyDescent="0.25">
      <c r="A227" t="s">
        <v>1216</v>
      </c>
      <c r="B227">
        <v>15</v>
      </c>
    </row>
    <row r="228" spans="1:2" x14ac:dyDescent="0.25">
      <c r="A228" t="s">
        <v>1216</v>
      </c>
      <c r="B228">
        <v>0</v>
      </c>
    </row>
    <row r="229" spans="1:2" x14ac:dyDescent="0.25">
      <c r="A229" t="s">
        <v>1214</v>
      </c>
      <c r="B229">
        <v>25</v>
      </c>
    </row>
    <row r="230" spans="1:2" x14ac:dyDescent="0.25">
      <c r="A230" t="s">
        <v>1213</v>
      </c>
      <c r="B230">
        <v>20</v>
      </c>
    </row>
    <row r="231" spans="1:2" x14ac:dyDescent="0.25">
      <c r="A231" t="s">
        <v>1216</v>
      </c>
      <c r="B231">
        <v>25</v>
      </c>
    </row>
    <row r="232" spans="1:2" x14ac:dyDescent="0.25">
      <c r="A232" t="s">
        <v>1215</v>
      </c>
      <c r="B232">
        <v>0</v>
      </c>
    </row>
    <row r="233" spans="1:2" x14ac:dyDescent="0.25">
      <c r="A233" t="s">
        <v>1214</v>
      </c>
      <c r="B233">
        <v>10</v>
      </c>
    </row>
    <row r="234" spans="1:2" x14ac:dyDescent="0.25">
      <c r="A234" t="s">
        <v>1213</v>
      </c>
      <c r="B234">
        <v>0</v>
      </c>
    </row>
    <row r="235" spans="1:2" x14ac:dyDescent="0.25">
      <c r="A235" t="s">
        <v>1215</v>
      </c>
      <c r="B235">
        <v>0</v>
      </c>
    </row>
    <row r="236" spans="1:2" x14ac:dyDescent="0.25">
      <c r="A236" t="s">
        <v>1216</v>
      </c>
      <c r="B236">
        <v>15</v>
      </c>
    </row>
    <row r="237" spans="1:2" x14ac:dyDescent="0.25">
      <c r="A237" t="s">
        <v>1214</v>
      </c>
      <c r="B237">
        <v>25</v>
      </c>
    </row>
    <row r="238" spans="1:2" x14ac:dyDescent="0.25">
      <c r="A238" t="s">
        <v>1216</v>
      </c>
      <c r="B238">
        <v>0</v>
      </c>
    </row>
    <row r="239" spans="1:2" x14ac:dyDescent="0.25">
      <c r="A239" t="s">
        <v>1214</v>
      </c>
      <c r="B239">
        <v>0</v>
      </c>
    </row>
    <row r="240" spans="1:2" x14ac:dyDescent="0.25">
      <c r="A240" t="s">
        <v>1215</v>
      </c>
      <c r="B240">
        <v>20</v>
      </c>
    </row>
    <row r="241" spans="1:2" x14ac:dyDescent="0.25">
      <c r="A241" t="s">
        <v>1213</v>
      </c>
      <c r="B241">
        <v>0</v>
      </c>
    </row>
    <row r="242" spans="1:2" x14ac:dyDescent="0.25">
      <c r="A242" t="s">
        <v>1215</v>
      </c>
      <c r="B242">
        <v>0</v>
      </c>
    </row>
    <row r="243" spans="1:2" x14ac:dyDescent="0.25">
      <c r="A243" t="s">
        <v>1215</v>
      </c>
      <c r="B243">
        <v>0</v>
      </c>
    </row>
    <row r="244" spans="1:2" x14ac:dyDescent="0.25">
      <c r="A244" t="s">
        <v>1215</v>
      </c>
      <c r="B244">
        <v>20</v>
      </c>
    </row>
    <row r="245" spans="1:2" x14ac:dyDescent="0.25">
      <c r="A245" t="s">
        <v>1213</v>
      </c>
      <c r="B245">
        <v>5</v>
      </c>
    </row>
    <row r="246" spans="1:2" x14ac:dyDescent="0.25">
      <c r="A246" t="s">
        <v>1214</v>
      </c>
      <c r="B246">
        <v>0</v>
      </c>
    </row>
    <row r="247" spans="1:2" x14ac:dyDescent="0.25">
      <c r="A247" t="s">
        <v>1215</v>
      </c>
      <c r="B247">
        <v>20</v>
      </c>
    </row>
    <row r="248" spans="1:2" x14ac:dyDescent="0.25">
      <c r="A248" t="s">
        <v>1215</v>
      </c>
      <c r="B248">
        <v>25</v>
      </c>
    </row>
    <row r="249" spans="1:2" x14ac:dyDescent="0.25">
      <c r="A249" t="s">
        <v>1216</v>
      </c>
      <c r="B249">
        <v>0</v>
      </c>
    </row>
    <row r="250" spans="1:2" x14ac:dyDescent="0.25">
      <c r="A250" t="s">
        <v>1214</v>
      </c>
      <c r="B250">
        <v>0</v>
      </c>
    </row>
    <row r="251" spans="1:2" x14ac:dyDescent="0.25">
      <c r="A251" t="s">
        <v>1214</v>
      </c>
      <c r="B251">
        <v>10</v>
      </c>
    </row>
    <row r="252" spans="1:2" x14ac:dyDescent="0.25">
      <c r="A252" t="s">
        <v>1215</v>
      </c>
      <c r="B252">
        <v>25</v>
      </c>
    </row>
    <row r="253" spans="1:2" x14ac:dyDescent="0.25">
      <c r="A253" t="s">
        <v>1213</v>
      </c>
      <c r="B253">
        <v>25</v>
      </c>
    </row>
    <row r="254" spans="1:2" x14ac:dyDescent="0.25">
      <c r="A254" t="s">
        <v>1213</v>
      </c>
      <c r="B254">
        <v>10</v>
      </c>
    </row>
    <row r="255" spans="1:2" x14ac:dyDescent="0.25">
      <c r="A255" t="s">
        <v>1213</v>
      </c>
      <c r="B255">
        <v>5</v>
      </c>
    </row>
    <row r="256" spans="1:2" x14ac:dyDescent="0.25">
      <c r="A256" t="s">
        <v>1213</v>
      </c>
      <c r="B256">
        <v>0</v>
      </c>
    </row>
    <row r="257" spans="1:2" x14ac:dyDescent="0.25">
      <c r="A257" t="s">
        <v>1216</v>
      </c>
      <c r="B257">
        <v>10</v>
      </c>
    </row>
    <row r="258" spans="1:2" x14ac:dyDescent="0.25">
      <c r="A258" t="s">
        <v>1213</v>
      </c>
      <c r="B258">
        <v>0</v>
      </c>
    </row>
    <row r="259" spans="1:2" x14ac:dyDescent="0.25">
      <c r="A259" t="s">
        <v>1214</v>
      </c>
      <c r="B259">
        <v>10</v>
      </c>
    </row>
    <row r="260" spans="1:2" x14ac:dyDescent="0.25">
      <c r="A260" t="s">
        <v>1213</v>
      </c>
      <c r="B260">
        <v>10</v>
      </c>
    </row>
    <row r="261" spans="1:2" x14ac:dyDescent="0.25">
      <c r="A261" t="s">
        <v>1213</v>
      </c>
      <c r="B261">
        <v>15</v>
      </c>
    </row>
    <row r="262" spans="1:2" x14ac:dyDescent="0.25">
      <c r="A262" t="s">
        <v>1216</v>
      </c>
      <c r="B262">
        <v>10</v>
      </c>
    </row>
    <row r="263" spans="1:2" x14ac:dyDescent="0.25">
      <c r="A263" t="s">
        <v>1213</v>
      </c>
      <c r="B263">
        <v>20</v>
      </c>
    </row>
    <row r="264" spans="1:2" x14ac:dyDescent="0.25">
      <c r="A264" t="s">
        <v>1215</v>
      </c>
      <c r="B264">
        <v>20</v>
      </c>
    </row>
    <row r="265" spans="1:2" x14ac:dyDescent="0.25">
      <c r="A265" t="s">
        <v>1215</v>
      </c>
      <c r="B265">
        <v>25</v>
      </c>
    </row>
    <row r="266" spans="1:2" x14ac:dyDescent="0.25">
      <c r="A266" t="s">
        <v>1216</v>
      </c>
      <c r="B266">
        <v>0</v>
      </c>
    </row>
    <row r="267" spans="1:2" x14ac:dyDescent="0.25">
      <c r="A267" t="s">
        <v>1216</v>
      </c>
      <c r="B267">
        <v>0</v>
      </c>
    </row>
    <row r="268" spans="1:2" x14ac:dyDescent="0.25">
      <c r="A268" t="s">
        <v>1214</v>
      </c>
      <c r="B268">
        <v>15</v>
      </c>
    </row>
    <row r="269" spans="1:2" x14ac:dyDescent="0.25">
      <c r="A269" t="s">
        <v>1213</v>
      </c>
      <c r="B269">
        <v>5</v>
      </c>
    </row>
    <row r="270" spans="1:2" x14ac:dyDescent="0.25">
      <c r="A270" t="s">
        <v>1215</v>
      </c>
      <c r="B270">
        <v>25</v>
      </c>
    </row>
    <row r="271" spans="1:2" x14ac:dyDescent="0.25">
      <c r="A271" t="s">
        <v>1213</v>
      </c>
      <c r="B271">
        <v>20</v>
      </c>
    </row>
    <row r="272" spans="1:2" x14ac:dyDescent="0.25">
      <c r="A272" t="s">
        <v>1213</v>
      </c>
      <c r="B272">
        <v>0</v>
      </c>
    </row>
    <row r="273" spans="1:2" x14ac:dyDescent="0.25">
      <c r="A273" t="s">
        <v>1213</v>
      </c>
      <c r="B273">
        <v>0</v>
      </c>
    </row>
    <row r="274" spans="1:2" x14ac:dyDescent="0.25">
      <c r="A274" t="s">
        <v>1216</v>
      </c>
      <c r="B274">
        <v>5</v>
      </c>
    </row>
    <row r="275" spans="1:2" x14ac:dyDescent="0.25">
      <c r="A275" t="s">
        <v>1214</v>
      </c>
      <c r="B275">
        <v>0</v>
      </c>
    </row>
    <row r="276" spans="1:2" x14ac:dyDescent="0.25">
      <c r="A276" t="s">
        <v>1216</v>
      </c>
      <c r="B276">
        <v>10</v>
      </c>
    </row>
    <row r="277" spans="1:2" x14ac:dyDescent="0.25">
      <c r="A277" t="s">
        <v>1214</v>
      </c>
      <c r="B277">
        <v>25</v>
      </c>
    </row>
    <row r="278" spans="1:2" x14ac:dyDescent="0.25">
      <c r="A278" t="s">
        <v>1214</v>
      </c>
      <c r="B278">
        <v>5</v>
      </c>
    </row>
    <row r="279" spans="1:2" x14ac:dyDescent="0.25">
      <c r="A279" t="s">
        <v>1214</v>
      </c>
      <c r="B279">
        <v>15</v>
      </c>
    </row>
    <row r="280" spans="1:2" x14ac:dyDescent="0.25">
      <c r="A280" t="s">
        <v>1214</v>
      </c>
      <c r="B280">
        <v>10</v>
      </c>
    </row>
    <row r="281" spans="1:2" x14ac:dyDescent="0.25">
      <c r="A281" t="s">
        <v>1215</v>
      </c>
      <c r="B281">
        <v>0</v>
      </c>
    </row>
    <row r="282" spans="1:2" x14ac:dyDescent="0.25">
      <c r="A282" t="s">
        <v>1214</v>
      </c>
      <c r="B282">
        <v>0</v>
      </c>
    </row>
    <row r="283" spans="1:2" x14ac:dyDescent="0.25">
      <c r="A283" t="s">
        <v>1215</v>
      </c>
      <c r="B283">
        <v>0</v>
      </c>
    </row>
    <row r="284" spans="1:2" x14ac:dyDescent="0.25">
      <c r="A284" t="s">
        <v>1213</v>
      </c>
      <c r="B284">
        <v>15</v>
      </c>
    </row>
    <row r="285" spans="1:2" x14ac:dyDescent="0.25">
      <c r="A285" t="s">
        <v>1213</v>
      </c>
      <c r="B285">
        <v>15</v>
      </c>
    </row>
    <row r="286" spans="1:2" x14ac:dyDescent="0.25">
      <c r="A286" t="s">
        <v>1216</v>
      </c>
      <c r="B286">
        <v>0</v>
      </c>
    </row>
    <row r="287" spans="1:2" x14ac:dyDescent="0.25">
      <c r="A287" t="s">
        <v>1213</v>
      </c>
      <c r="B287">
        <v>20</v>
      </c>
    </row>
    <row r="288" spans="1:2" x14ac:dyDescent="0.25">
      <c r="A288" t="s">
        <v>1213</v>
      </c>
      <c r="B288">
        <v>15</v>
      </c>
    </row>
    <row r="289" spans="1:2" x14ac:dyDescent="0.25">
      <c r="A289" t="s">
        <v>1215</v>
      </c>
      <c r="B289">
        <v>0</v>
      </c>
    </row>
    <row r="290" spans="1:2" x14ac:dyDescent="0.25">
      <c r="A290" t="s">
        <v>1214</v>
      </c>
      <c r="B290">
        <v>20</v>
      </c>
    </row>
    <row r="291" spans="1:2" x14ac:dyDescent="0.25">
      <c r="A291" t="s">
        <v>1216</v>
      </c>
      <c r="B291">
        <v>15</v>
      </c>
    </row>
    <row r="292" spans="1:2" x14ac:dyDescent="0.25">
      <c r="A292" t="s">
        <v>1216</v>
      </c>
      <c r="B292">
        <v>0</v>
      </c>
    </row>
    <row r="293" spans="1:2" x14ac:dyDescent="0.25">
      <c r="A293" t="s">
        <v>1213</v>
      </c>
      <c r="B293">
        <v>0</v>
      </c>
    </row>
    <row r="294" spans="1:2" x14ac:dyDescent="0.25">
      <c r="A294" t="s">
        <v>1216</v>
      </c>
      <c r="B294">
        <v>20</v>
      </c>
    </row>
    <row r="295" spans="1:2" x14ac:dyDescent="0.25">
      <c r="A295" t="s">
        <v>1213</v>
      </c>
      <c r="B295">
        <v>0</v>
      </c>
    </row>
    <row r="296" spans="1:2" x14ac:dyDescent="0.25">
      <c r="A296" t="s">
        <v>1216</v>
      </c>
      <c r="B296">
        <v>25</v>
      </c>
    </row>
    <row r="297" spans="1:2" x14ac:dyDescent="0.25">
      <c r="A297" t="s">
        <v>1216</v>
      </c>
      <c r="B297">
        <v>25</v>
      </c>
    </row>
    <row r="298" spans="1:2" x14ac:dyDescent="0.25">
      <c r="A298" t="s">
        <v>1215</v>
      </c>
      <c r="B298">
        <v>5</v>
      </c>
    </row>
    <row r="299" spans="1:2" x14ac:dyDescent="0.25">
      <c r="A299" t="s">
        <v>1213</v>
      </c>
      <c r="B299">
        <v>5</v>
      </c>
    </row>
    <row r="300" spans="1:2" x14ac:dyDescent="0.25">
      <c r="A300" t="s">
        <v>1214</v>
      </c>
      <c r="B300">
        <v>5</v>
      </c>
    </row>
    <row r="301" spans="1:2" x14ac:dyDescent="0.25">
      <c r="A301" t="s">
        <v>1214</v>
      </c>
      <c r="B301">
        <v>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E17E-25A6-4561-B3F7-B023D0FD72B3}">
  <dimension ref="B1:F301"/>
  <sheetViews>
    <sheetView workbookViewId="0">
      <selection activeCell="F23" sqref="F23"/>
    </sheetView>
  </sheetViews>
  <sheetFormatPr defaultRowHeight="15" x14ac:dyDescent="0.25"/>
  <cols>
    <col min="2" max="2" width="10.5703125" bestFit="1" customWidth="1"/>
    <col min="3" max="3" width="12.5703125" bestFit="1" customWidth="1"/>
    <col min="5" max="5" width="12.85546875" bestFit="1" customWidth="1"/>
    <col min="6" max="6" width="19.42578125" bestFit="1" customWidth="1"/>
  </cols>
  <sheetData>
    <row r="1" spans="2:6" x14ac:dyDescent="0.25">
      <c r="B1" t="s">
        <v>3</v>
      </c>
      <c r="C1" t="s">
        <v>1220</v>
      </c>
    </row>
    <row r="2" spans="2:6" x14ac:dyDescent="0.25">
      <c r="B2" t="s">
        <v>326</v>
      </c>
      <c r="C2">
        <v>0.11470721743077621</v>
      </c>
    </row>
    <row r="3" spans="2:6" x14ac:dyDescent="0.25">
      <c r="B3" t="s">
        <v>327</v>
      </c>
      <c r="C3">
        <v>0.13411764705882354</v>
      </c>
      <c r="E3" s="4" t="s">
        <v>3</v>
      </c>
      <c r="F3" t="s">
        <v>1221</v>
      </c>
    </row>
    <row r="4" spans="2:6" x14ac:dyDescent="0.25">
      <c r="B4" t="s">
        <v>328</v>
      </c>
      <c r="C4">
        <v>0.11995104039167687</v>
      </c>
      <c r="E4" t="s">
        <v>328</v>
      </c>
      <c r="F4" s="5">
        <v>4.4352174209394084</v>
      </c>
    </row>
    <row r="5" spans="2:6" x14ac:dyDescent="0.25">
      <c r="B5" t="s">
        <v>326</v>
      </c>
      <c r="C5">
        <v>0.15940594059405941</v>
      </c>
      <c r="E5" t="s">
        <v>326</v>
      </c>
      <c r="F5" s="5">
        <v>5.9877702610465038</v>
      </c>
    </row>
    <row r="6" spans="2:6" x14ac:dyDescent="0.25">
      <c r="B6" t="s">
        <v>329</v>
      </c>
      <c r="C6">
        <v>0.14150537634408603</v>
      </c>
      <c r="E6" t="s">
        <v>330</v>
      </c>
      <c r="F6" s="5">
        <v>5.3178561655317704</v>
      </c>
    </row>
    <row r="7" spans="2:6" x14ac:dyDescent="0.25">
      <c r="B7" t="s">
        <v>328</v>
      </c>
      <c r="C7">
        <v>0.16596858638743453</v>
      </c>
      <c r="E7" t="s">
        <v>329</v>
      </c>
      <c r="F7" s="5">
        <v>5.8831814687720012</v>
      </c>
    </row>
    <row r="8" spans="2:6" x14ac:dyDescent="0.25">
      <c r="B8" t="s">
        <v>326</v>
      </c>
      <c r="C8">
        <v>0.13930131004366811</v>
      </c>
      <c r="E8" t="s">
        <v>331</v>
      </c>
      <c r="F8" s="5">
        <v>6.8206861609688207</v>
      </c>
    </row>
    <row r="9" spans="2:6" x14ac:dyDescent="0.25">
      <c r="B9" t="s">
        <v>330</v>
      </c>
      <c r="C9">
        <v>0.13077777777777777</v>
      </c>
      <c r="E9" t="s">
        <v>327</v>
      </c>
      <c r="F9" s="5">
        <v>7.5329459079587391</v>
      </c>
    </row>
    <row r="10" spans="2:6" x14ac:dyDescent="0.25">
      <c r="B10" t="s">
        <v>329</v>
      </c>
      <c r="C10">
        <v>0.13544390915347557</v>
      </c>
      <c r="E10" t="s">
        <v>332</v>
      </c>
      <c r="F10" s="5">
        <v>4.908165154143731</v>
      </c>
    </row>
    <row r="11" spans="2:6" x14ac:dyDescent="0.25">
      <c r="B11" t="s">
        <v>330</v>
      </c>
      <c r="C11">
        <v>0.13009238891333039</v>
      </c>
    </row>
    <row r="12" spans="2:6" x14ac:dyDescent="0.25">
      <c r="B12" t="s">
        <v>326</v>
      </c>
      <c r="C12">
        <v>0.11661237785016287</v>
      </c>
    </row>
    <row r="13" spans="2:6" x14ac:dyDescent="0.25">
      <c r="B13" t="s">
        <v>328</v>
      </c>
      <c r="C13">
        <v>0.13058823529411764</v>
      </c>
    </row>
    <row r="14" spans="2:6" x14ac:dyDescent="0.25">
      <c r="B14" t="s">
        <v>328</v>
      </c>
      <c r="C14">
        <v>0.13285223367697593</v>
      </c>
    </row>
    <row r="15" spans="2:6" x14ac:dyDescent="0.25">
      <c r="B15" t="s">
        <v>331</v>
      </c>
      <c r="C15">
        <v>0.13006993006993006</v>
      </c>
    </row>
    <row r="16" spans="2:6" x14ac:dyDescent="0.25">
      <c r="B16" t="s">
        <v>326</v>
      </c>
      <c r="C16">
        <v>0.13277467411545624</v>
      </c>
    </row>
    <row r="17" spans="2:3" x14ac:dyDescent="0.25">
      <c r="B17" t="s">
        <v>331</v>
      </c>
      <c r="C17">
        <v>0.11493055555555556</v>
      </c>
    </row>
    <row r="18" spans="2:3" x14ac:dyDescent="0.25">
      <c r="B18" t="s">
        <v>328</v>
      </c>
      <c r="C18">
        <v>0.12622377622377623</v>
      </c>
    </row>
    <row r="19" spans="2:3" x14ac:dyDescent="0.25">
      <c r="B19" t="s">
        <v>330</v>
      </c>
      <c r="C19">
        <v>0.16441199077632593</v>
      </c>
    </row>
    <row r="20" spans="2:3" x14ac:dyDescent="0.25">
      <c r="B20" t="s">
        <v>331</v>
      </c>
      <c r="C20">
        <v>0.1544917756221004</v>
      </c>
    </row>
    <row r="21" spans="2:3" x14ac:dyDescent="0.25">
      <c r="B21" t="s">
        <v>326</v>
      </c>
      <c r="C21">
        <v>0.12706422018348623</v>
      </c>
    </row>
    <row r="22" spans="2:3" x14ac:dyDescent="0.25">
      <c r="B22" t="s">
        <v>332</v>
      </c>
      <c r="C22">
        <v>0.13250807319698601</v>
      </c>
    </row>
    <row r="23" spans="2:3" x14ac:dyDescent="0.25">
      <c r="B23" t="s">
        <v>327</v>
      </c>
      <c r="C23">
        <v>0.11170141223940822</v>
      </c>
    </row>
    <row r="24" spans="2:3" x14ac:dyDescent="0.25">
      <c r="B24" t="s">
        <v>332</v>
      </c>
      <c r="C24">
        <v>0.12190889370932753</v>
      </c>
    </row>
    <row r="25" spans="2:3" x14ac:dyDescent="0.25">
      <c r="B25" t="s">
        <v>332</v>
      </c>
      <c r="C25">
        <v>0.13748427672955973</v>
      </c>
    </row>
    <row r="26" spans="2:3" x14ac:dyDescent="0.25">
      <c r="B26" t="s">
        <v>330</v>
      </c>
      <c r="C26">
        <v>0.11489117983963344</v>
      </c>
    </row>
    <row r="27" spans="2:3" x14ac:dyDescent="0.25">
      <c r="B27" t="s">
        <v>330</v>
      </c>
      <c r="C27">
        <v>0.15858085808580857</v>
      </c>
    </row>
    <row r="28" spans="2:3" x14ac:dyDescent="0.25">
      <c r="B28" t="s">
        <v>328</v>
      </c>
      <c r="C28">
        <v>0.15833333333333335</v>
      </c>
    </row>
    <row r="29" spans="2:3" x14ac:dyDescent="0.25">
      <c r="B29" t="s">
        <v>329</v>
      </c>
      <c r="C29">
        <v>0.16521739130434782</v>
      </c>
    </row>
    <row r="30" spans="2:3" x14ac:dyDescent="0.25">
      <c r="B30" t="s">
        <v>328</v>
      </c>
      <c r="C30">
        <v>0.11467391304347826</v>
      </c>
    </row>
    <row r="31" spans="2:3" x14ac:dyDescent="0.25">
      <c r="B31" t="s">
        <v>331</v>
      </c>
      <c r="C31">
        <v>0.14029850746268657</v>
      </c>
    </row>
    <row r="32" spans="2:3" x14ac:dyDescent="0.25">
      <c r="B32" t="s">
        <v>326</v>
      </c>
      <c r="C32">
        <v>0.14534534534534535</v>
      </c>
    </row>
    <row r="33" spans="2:3" x14ac:dyDescent="0.25">
      <c r="B33" t="s">
        <v>329</v>
      </c>
      <c r="C33">
        <v>0.12717287488061127</v>
      </c>
    </row>
    <row r="34" spans="2:3" x14ac:dyDescent="0.25">
      <c r="B34" t="s">
        <v>332</v>
      </c>
      <c r="C34">
        <v>0.15064516129032257</v>
      </c>
    </row>
    <row r="35" spans="2:3" x14ac:dyDescent="0.25">
      <c r="B35" t="s">
        <v>328</v>
      </c>
      <c r="C35">
        <v>0.15766974015088012</v>
      </c>
    </row>
    <row r="36" spans="2:3" x14ac:dyDescent="0.25">
      <c r="B36" t="s">
        <v>327</v>
      </c>
      <c r="C36">
        <v>0.11952326901248581</v>
      </c>
    </row>
    <row r="37" spans="2:3" x14ac:dyDescent="0.25">
      <c r="B37" t="s">
        <v>330</v>
      </c>
      <c r="C37">
        <v>0.14838709677419357</v>
      </c>
    </row>
    <row r="38" spans="2:3" x14ac:dyDescent="0.25">
      <c r="B38" t="s">
        <v>327</v>
      </c>
      <c r="C38">
        <v>0.13226950354609929</v>
      </c>
    </row>
    <row r="39" spans="2:3" x14ac:dyDescent="0.25">
      <c r="B39" t="s">
        <v>331</v>
      </c>
      <c r="C39">
        <v>0.13</v>
      </c>
    </row>
    <row r="40" spans="2:3" x14ac:dyDescent="0.25">
      <c r="B40" t="s">
        <v>330</v>
      </c>
      <c r="C40">
        <v>0.12900528169014083</v>
      </c>
    </row>
    <row r="41" spans="2:3" x14ac:dyDescent="0.25">
      <c r="B41" t="s">
        <v>329</v>
      </c>
      <c r="C41">
        <v>0.12520231213872832</v>
      </c>
    </row>
    <row r="42" spans="2:3" x14ac:dyDescent="0.25">
      <c r="B42" t="s">
        <v>330</v>
      </c>
      <c r="C42">
        <v>0.11478599221789884</v>
      </c>
    </row>
    <row r="43" spans="2:3" x14ac:dyDescent="0.25">
      <c r="B43" t="s">
        <v>330</v>
      </c>
      <c r="C43">
        <v>0.14182825484764541</v>
      </c>
    </row>
    <row r="44" spans="2:3" x14ac:dyDescent="0.25">
      <c r="B44" t="s">
        <v>326</v>
      </c>
      <c r="C44">
        <v>0.12444146559428061</v>
      </c>
    </row>
    <row r="45" spans="2:3" x14ac:dyDescent="0.25">
      <c r="B45" t="s">
        <v>326</v>
      </c>
      <c r="C45">
        <v>0.11952026468155499</v>
      </c>
    </row>
    <row r="46" spans="2:3" x14ac:dyDescent="0.25">
      <c r="B46" t="s">
        <v>331</v>
      </c>
      <c r="C46">
        <v>0.11395490554539915</v>
      </c>
    </row>
    <row r="47" spans="2:3" x14ac:dyDescent="0.25">
      <c r="B47" t="s">
        <v>326</v>
      </c>
      <c r="C47">
        <v>0.16664330763840227</v>
      </c>
    </row>
    <row r="48" spans="2:3" x14ac:dyDescent="0.25">
      <c r="B48" t="s">
        <v>327</v>
      </c>
      <c r="C48">
        <v>0.12672991071428572</v>
      </c>
    </row>
    <row r="49" spans="2:3" x14ac:dyDescent="0.25">
      <c r="B49" t="s">
        <v>331</v>
      </c>
      <c r="C49">
        <v>0.11661237785016287</v>
      </c>
    </row>
    <row r="50" spans="2:3" x14ac:dyDescent="0.25">
      <c r="B50" t="s">
        <v>327</v>
      </c>
      <c r="C50">
        <v>0.12635574837310196</v>
      </c>
    </row>
    <row r="51" spans="2:3" x14ac:dyDescent="0.25">
      <c r="B51" t="s">
        <v>326</v>
      </c>
      <c r="C51">
        <v>0.12114989733059549</v>
      </c>
    </row>
    <row r="52" spans="2:3" x14ac:dyDescent="0.25">
      <c r="B52" t="s">
        <v>330</v>
      </c>
      <c r="C52">
        <v>0.14469453376205788</v>
      </c>
    </row>
    <row r="53" spans="2:3" x14ac:dyDescent="0.25">
      <c r="B53" t="s">
        <v>332</v>
      </c>
      <c r="C53">
        <v>0.12217194570135746</v>
      </c>
    </row>
    <row r="54" spans="2:3" x14ac:dyDescent="0.25">
      <c r="B54" t="s">
        <v>331</v>
      </c>
      <c r="C54">
        <v>0.12680652680652682</v>
      </c>
    </row>
    <row r="55" spans="2:3" x14ac:dyDescent="0.25">
      <c r="B55" t="s">
        <v>331</v>
      </c>
      <c r="C55">
        <v>0.15433403805496829</v>
      </c>
    </row>
    <row r="56" spans="2:3" x14ac:dyDescent="0.25">
      <c r="B56" t="s">
        <v>329</v>
      </c>
      <c r="C56">
        <v>0.14228473998294972</v>
      </c>
    </row>
    <row r="57" spans="2:3" x14ac:dyDescent="0.25">
      <c r="B57" t="s">
        <v>327</v>
      </c>
      <c r="C57">
        <v>0.13337687785760943</v>
      </c>
    </row>
    <row r="58" spans="2:3" x14ac:dyDescent="0.25">
      <c r="B58" t="s">
        <v>329</v>
      </c>
      <c r="C58">
        <v>0.16365834004834812</v>
      </c>
    </row>
    <row r="59" spans="2:3" x14ac:dyDescent="0.25">
      <c r="B59" t="s">
        <v>328</v>
      </c>
      <c r="C59">
        <v>0.12927400468384073</v>
      </c>
    </row>
    <row r="60" spans="2:3" x14ac:dyDescent="0.25">
      <c r="B60" t="s">
        <v>329</v>
      </c>
      <c r="C60">
        <v>0.14220907297830374</v>
      </c>
    </row>
    <row r="61" spans="2:3" x14ac:dyDescent="0.25">
      <c r="B61" t="s">
        <v>330</v>
      </c>
      <c r="C61">
        <v>0.15919629057187018</v>
      </c>
    </row>
    <row r="62" spans="2:3" x14ac:dyDescent="0.25">
      <c r="B62" t="s">
        <v>330</v>
      </c>
      <c r="C62">
        <v>0.1218227424749164</v>
      </c>
    </row>
    <row r="63" spans="2:3" x14ac:dyDescent="0.25">
      <c r="B63" t="s">
        <v>329</v>
      </c>
      <c r="C63">
        <v>0.1473972602739726</v>
      </c>
    </row>
    <row r="64" spans="2:3" x14ac:dyDescent="0.25">
      <c r="B64" t="s">
        <v>331</v>
      </c>
      <c r="C64">
        <v>0.14161606725829051</v>
      </c>
    </row>
    <row r="65" spans="2:3" x14ac:dyDescent="0.25">
      <c r="B65" t="s">
        <v>329</v>
      </c>
      <c r="C65">
        <v>0.16664979757085022</v>
      </c>
    </row>
    <row r="66" spans="2:3" x14ac:dyDescent="0.25">
      <c r="B66" t="s">
        <v>327</v>
      </c>
      <c r="C66">
        <v>0.12846410684474124</v>
      </c>
    </row>
    <row r="67" spans="2:3" x14ac:dyDescent="0.25">
      <c r="B67" t="s">
        <v>331</v>
      </c>
      <c r="C67">
        <v>0.14209115281501342</v>
      </c>
    </row>
    <row r="68" spans="2:3" x14ac:dyDescent="0.25">
      <c r="B68" t="s">
        <v>331</v>
      </c>
      <c r="C68">
        <v>0.16334841628959273</v>
      </c>
    </row>
    <row r="69" spans="2:3" x14ac:dyDescent="0.25">
      <c r="B69" t="s">
        <v>326</v>
      </c>
      <c r="C69">
        <v>0.13502857142857141</v>
      </c>
    </row>
    <row r="70" spans="2:3" x14ac:dyDescent="0.25">
      <c r="B70" t="s">
        <v>327</v>
      </c>
      <c r="C70">
        <v>0.13047746541722444</v>
      </c>
    </row>
    <row r="71" spans="2:3" x14ac:dyDescent="0.25">
      <c r="B71" t="s">
        <v>328</v>
      </c>
      <c r="C71">
        <v>0.1640326975476839</v>
      </c>
    </row>
    <row r="72" spans="2:3" x14ac:dyDescent="0.25">
      <c r="B72" t="s">
        <v>332</v>
      </c>
      <c r="C72">
        <v>0.15174892189746048</v>
      </c>
    </row>
    <row r="73" spans="2:3" x14ac:dyDescent="0.25">
      <c r="B73" t="s">
        <v>331</v>
      </c>
      <c r="C73">
        <v>0.15353195579048534</v>
      </c>
    </row>
    <row r="74" spans="2:3" x14ac:dyDescent="0.25">
      <c r="B74" t="s">
        <v>331</v>
      </c>
      <c r="C74">
        <v>0.13429733393583371</v>
      </c>
    </row>
    <row r="75" spans="2:3" x14ac:dyDescent="0.25">
      <c r="B75" t="s">
        <v>328</v>
      </c>
      <c r="C75">
        <v>0.14381818181818182</v>
      </c>
    </row>
    <row r="76" spans="2:3" x14ac:dyDescent="0.25">
      <c r="B76" t="s">
        <v>331</v>
      </c>
      <c r="C76">
        <v>0.14813043478260871</v>
      </c>
    </row>
    <row r="77" spans="2:3" x14ac:dyDescent="0.25">
      <c r="B77" t="s">
        <v>327</v>
      </c>
      <c r="C77">
        <v>0.11306098964326811</v>
      </c>
    </row>
    <row r="78" spans="2:3" x14ac:dyDescent="0.25">
      <c r="B78" t="s">
        <v>327</v>
      </c>
      <c r="C78">
        <v>0.12352941176470587</v>
      </c>
    </row>
    <row r="79" spans="2:3" x14ac:dyDescent="0.25">
      <c r="B79" t="s">
        <v>327</v>
      </c>
      <c r="C79">
        <v>0.162640977443609</v>
      </c>
    </row>
    <row r="80" spans="2:3" x14ac:dyDescent="0.25">
      <c r="B80" t="s">
        <v>329</v>
      </c>
      <c r="C80">
        <v>0.14417309340188517</v>
      </c>
    </row>
    <row r="81" spans="2:3" x14ac:dyDescent="0.25">
      <c r="B81" t="s">
        <v>329</v>
      </c>
      <c r="C81">
        <v>0.1197160883280757</v>
      </c>
    </row>
    <row r="82" spans="2:3" x14ac:dyDescent="0.25">
      <c r="B82" t="s">
        <v>328</v>
      </c>
      <c r="C82">
        <v>0.1118874773139746</v>
      </c>
    </row>
    <row r="83" spans="2:3" x14ac:dyDescent="0.25">
      <c r="B83" t="s">
        <v>330</v>
      </c>
      <c r="C83">
        <v>0.13512304250559284</v>
      </c>
    </row>
    <row r="84" spans="2:3" x14ac:dyDescent="0.25">
      <c r="B84" t="s">
        <v>326</v>
      </c>
      <c r="C84">
        <v>0.13330232558139535</v>
      </c>
    </row>
    <row r="85" spans="2:3" x14ac:dyDescent="0.25">
      <c r="B85" t="s">
        <v>326</v>
      </c>
      <c r="C85">
        <v>0.1426112510495382</v>
      </c>
    </row>
    <row r="86" spans="2:3" x14ac:dyDescent="0.25">
      <c r="B86" t="s">
        <v>331</v>
      </c>
      <c r="C86">
        <v>0.14058154235145384</v>
      </c>
    </row>
    <row r="87" spans="2:3" x14ac:dyDescent="0.25">
      <c r="B87" t="s">
        <v>331</v>
      </c>
      <c r="C87">
        <v>0.15430463576158943</v>
      </c>
    </row>
    <row r="88" spans="2:3" x14ac:dyDescent="0.25">
      <c r="B88" t="s">
        <v>330</v>
      </c>
      <c r="C88">
        <v>0.13333333333333333</v>
      </c>
    </row>
    <row r="89" spans="2:3" x14ac:dyDescent="0.25">
      <c r="B89" t="s">
        <v>329</v>
      </c>
      <c r="C89">
        <v>0.13738317757009344</v>
      </c>
    </row>
    <row r="90" spans="2:3" x14ac:dyDescent="0.25">
      <c r="B90" t="s">
        <v>326</v>
      </c>
      <c r="C90">
        <v>0.15936430317848413</v>
      </c>
    </row>
    <row r="91" spans="2:3" x14ac:dyDescent="0.25">
      <c r="B91" t="s">
        <v>332</v>
      </c>
      <c r="C91">
        <v>0.12296368989205102</v>
      </c>
    </row>
    <row r="92" spans="2:3" x14ac:dyDescent="0.25">
      <c r="B92" t="s">
        <v>326</v>
      </c>
      <c r="C92">
        <v>0.13786407766990288</v>
      </c>
    </row>
    <row r="93" spans="2:3" x14ac:dyDescent="0.25">
      <c r="B93" t="s">
        <v>327</v>
      </c>
      <c r="C93">
        <v>0.11397260273972604</v>
      </c>
    </row>
    <row r="94" spans="2:3" x14ac:dyDescent="0.25">
      <c r="B94" t="s">
        <v>326</v>
      </c>
      <c r="C94">
        <v>0.12108150470219435</v>
      </c>
    </row>
    <row r="95" spans="2:3" x14ac:dyDescent="0.25">
      <c r="B95" t="s">
        <v>332</v>
      </c>
      <c r="C95">
        <v>0.13793103448275865</v>
      </c>
    </row>
    <row r="96" spans="2:3" x14ac:dyDescent="0.25">
      <c r="B96" t="s">
        <v>330</v>
      </c>
      <c r="C96">
        <v>0.11851851851851852</v>
      </c>
    </row>
    <row r="97" spans="2:3" x14ac:dyDescent="0.25">
      <c r="B97" t="s">
        <v>331</v>
      </c>
      <c r="C97">
        <v>0.12516590096988259</v>
      </c>
    </row>
    <row r="98" spans="2:3" x14ac:dyDescent="0.25">
      <c r="B98" t="s">
        <v>326</v>
      </c>
      <c r="C98">
        <v>0.13492292870905589</v>
      </c>
    </row>
    <row r="99" spans="2:3" x14ac:dyDescent="0.25">
      <c r="B99" t="s">
        <v>332</v>
      </c>
      <c r="C99">
        <v>0.15957446808510636</v>
      </c>
    </row>
    <row r="100" spans="2:3" x14ac:dyDescent="0.25">
      <c r="B100" t="s">
        <v>330</v>
      </c>
      <c r="C100">
        <v>0.1206684256816183</v>
      </c>
    </row>
    <row r="101" spans="2:3" x14ac:dyDescent="0.25">
      <c r="B101" t="s">
        <v>327</v>
      </c>
      <c r="C101">
        <v>0.12660280029476789</v>
      </c>
    </row>
    <row r="102" spans="2:3" x14ac:dyDescent="0.25">
      <c r="B102" t="s">
        <v>329</v>
      </c>
      <c r="C102">
        <v>0.12171052631578949</v>
      </c>
    </row>
    <row r="103" spans="2:3" x14ac:dyDescent="0.25">
      <c r="B103" t="s">
        <v>331</v>
      </c>
      <c r="C103">
        <v>0.15899280575539568</v>
      </c>
    </row>
    <row r="104" spans="2:3" x14ac:dyDescent="0.25">
      <c r="B104" t="s">
        <v>332</v>
      </c>
      <c r="C104">
        <v>0.13473520249221183</v>
      </c>
    </row>
    <row r="105" spans="2:3" x14ac:dyDescent="0.25">
      <c r="B105" t="s">
        <v>328</v>
      </c>
      <c r="C105">
        <v>0.12991666666666665</v>
      </c>
    </row>
    <row r="106" spans="2:3" x14ac:dyDescent="0.25">
      <c r="B106" t="s">
        <v>327</v>
      </c>
      <c r="C106">
        <v>0.14553376906318083</v>
      </c>
    </row>
    <row r="107" spans="2:3" x14ac:dyDescent="0.25">
      <c r="B107" t="s">
        <v>327</v>
      </c>
      <c r="C107">
        <v>0.14380907372400756</v>
      </c>
    </row>
    <row r="108" spans="2:3" x14ac:dyDescent="0.25">
      <c r="B108" t="s">
        <v>330</v>
      </c>
      <c r="C108">
        <v>0.14782388663967613</v>
      </c>
    </row>
    <row r="109" spans="2:3" x14ac:dyDescent="0.25">
      <c r="B109" t="s">
        <v>332</v>
      </c>
      <c r="C109">
        <v>0.13755803156917362</v>
      </c>
    </row>
    <row r="110" spans="2:3" x14ac:dyDescent="0.25">
      <c r="B110" t="s">
        <v>330</v>
      </c>
      <c r="C110">
        <v>0.13801652892561983</v>
      </c>
    </row>
    <row r="111" spans="2:3" x14ac:dyDescent="0.25">
      <c r="B111" t="s">
        <v>327</v>
      </c>
      <c r="C111">
        <v>0.13520361990950225</v>
      </c>
    </row>
    <row r="112" spans="2:3" x14ac:dyDescent="0.25">
      <c r="B112" t="s">
        <v>329</v>
      </c>
      <c r="C112">
        <v>0.14290780141843973</v>
      </c>
    </row>
    <row r="113" spans="2:3" x14ac:dyDescent="0.25">
      <c r="B113" t="s">
        <v>326</v>
      </c>
      <c r="C113">
        <v>0.15807916937053862</v>
      </c>
    </row>
    <row r="114" spans="2:3" x14ac:dyDescent="0.25">
      <c r="B114" t="s">
        <v>326</v>
      </c>
      <c r="C114">
        <v>0.14290612944706388</v>
      </c>
    </row>
    <row r="115" spans="2:3" x14ac:dyDescent="0.25">
      <c r="B115" t="s">
        <v>332</v>
      </c>
      <c r="C115">
        <v>0.15363372093023256</v>
      </c>
    </row>
    <row r="116" spans="2:3" x14ac:dyDescent="0.25">
      <c r="B116" t="s">
        <v>330</v>
      </c>
      <c r="C116">
        <v>0.13797549967762734</v>
      </c>
    </row>
    <row r="117" spans="2:3" x14ac:dyDescent="0.25">
      <c r="B117" t="s">
        <v>328</v>
      </c>
      <c r="C117">
        <v>0.14309185959671397</v>
      </c>
    </row>
    <row r="118" spans="2:3" x14ac:dyDescent="0.25">
      <c r="B118" t="s">
        <v>332</v>
      </c>
      <c r="C118">
        <v>0.11385159010600707</v>
      </c>
    </row>
    <row r="119" spans="2:3" x14ac:dyDescent="0.25">
      <c r="B119" t="s">
        <v>327</v>
      </c>
      <c r="C119">
        <v>0.11910910264686894</v>
      </c>
    </row>
    <row r="120" spans="2:3" x14ac:dyDescent="0.25">
      <c r="B120" t="s">
        <v>331</v>
      </c>
      <c r="C120">
        <v>0.11648902821316613</v>
      </c>
    </row>
    <row r="121" spans="2:3" x14ac:dyDescent="0.25">
      <c r="B121" t="s">
        <v>328</v>
      </c>
      <c r="C121">
        <v>0.15252976190476189</v>
      </c>
    </row>
    <row r="122" spans="2:3" x14ac:dyDescent="0.25">
      <c r="B122" t="s">
        <v>329</v>
      </c>
      <c r="C122">
        <v>0.11229508196721312</v>
      </c>
    </row>
    <row r="123" spans="2:3" x14ac:dyDescent="0.25">
      <c r="B123" t="s">
        <v>330</v>
      </c>
      <c r="C123">
        <v>0.12748344370860928</v>
      </c>
    </row>
    <row r="124" spans="2:3" x14ac:dyDescent="0.25">
      <c r="B124" t="s">
        <v>328</v>
      </c>
      <c r="C124">
        <v>0.12157006603081437</v>
      </c>
    </row>
    <row r="125" spans="2:3" x14ac:dyDescent="0.25">
      <c r="B125" t="s">
        <v>326</v>
      </c>
      <c r="C125">
        <v>0.15232843137254903</v>
      </c>
    </row>
    <row r="126" spans="2:3" x14ac:dyDescent="0.25">
      <c r="B126" t="s">
        <v>329</v>
      </c>
      <c r="C126">
        <v>0.11614372469635628</v>
      </c>
    </row>
    <row r="127" spans="2:3" x14ac:dyDescent="0.25">
      <c r="B127" t="s">
        <v>328</v>
      </c>
      <c r="C127">
        <v>0.14586693548387097</v>
      </c>
    </row>
    <row r="128" spans="2:3" x14ac:dyDescent="0.25">
      <c r="B128" t="s">
        <v>329</v>
      </c>
      <c r="C128">
        <v>0.13406593406593406</v>
      </c>
    </row>
    <row r="129" spans="2:3" x14ac:dyDescent="0.25">
      <c r="B129" t="s">
        <v>332</v>
      </c>
      <c r="C129">
        <v>0.12969543147208121</v>
      </c>
    </row>
    <row r="130" spans="2:3" x14ac:dyDescent="0.25">
      <c r="B130" t="s">
        <v>332</v>
      </c>
      <c r="C130">
        <v>0.14476584022038566</v>
      </c>
    </row>
    <row r="131" spans="2:3" x14ac:dyDescent="0.25">
      <c r="B131" t="s">
        <v>327</v>
      </c>
      <c r="C131">
        <v>0.12274074074074075</v>
      </c>
    </row>
    <row r="132" spans="2:3" x14ac:dyDescent="0.25">
      <c r="B132" t="s">
        <v>326</v>
      </c>
      <c r="C132">
        <v>0.1280701754385965</v>
      </c>
    </row>
    <row r="133" spans="2:3" x14ac:dyDescent="0.25">
      <c r="B133" t="s">
        <v>326</v>
      </c>
      <c r="C133">
        <v>0.12643442622950821</v>
      </c>
    </row>
    <row r="134" spans="2:3" x14ac:dyDescent="0.25">
      <c r="B134" t="s">
        <v>327</v>
      </c>
      <c r="C134">
        <v>0.12423963133640553</v>
      </c>
    </row>
    <row r="135" spans="2:3" x14ac:dyDescent="0.25">
      <c r="B135" t="s">
        <v>327</v>
      </c>
      <c r="C135">
        <v>0.16511852926947268</v>
      </c>
    </row>
    <row r="136" spans="2:3" x14ac:dyDescent="0.25">
      <c r="B136" t="s">
        <v>327</v>
      </c>
      <c r="C136">
        <v>0.1455922865013774</v>
      </c>
    </row>
    <row r="137" spans="2:3" x14ac:dyDescent="0.25">
      <c r="B137" t="s">
        <v>331</v>
      </c>
      <c r="C137">
        <v>0.14167018135807677</v>
      </c>
    </row>
    <row r="138" spans="2:3" x14ac:dyDescent="0.25">
      <c r="B138" t="s">
        <v>331</v>
      </c>
      <c r="C138">
        <v>0.11649625085207908</v>
      </c>
    </row>
    <row r="139" spans="2:3" x14ac:dyDescent="0.25">
      <c r="B139" t="s">
        <v>329</v>
      </c>
      <c r="C139">
        <v>0.1225250278086763</v>
      </c>
    </row>
    <row r="140" spans="2:3" x14ac:dyDescent="0.25">
      <c r="B140" t="s">
        <v>332</v>
      </c>
      <c r="C140">
        <v>0.16529466791393826</v>
      </c>
    </row>
    <row r="141" spans="2:3" x14ac:dyDescent="0.25">
      <c r="B141" t="s">
        <v>326</v>
      </c>
      <c r="C141">
        <v>0.13060109289617489</v>
      </c>
    </row>
    <row r="142" spans="2:3" x14ac:dyDescent="0.25">
      <c r="B142" t="s">
        <v>328</v>
      </c>
      <c r="C142">
        <v>0.14586597040905136</v>
      </c>
    </row>
    <row r="143" spans="2:3" x14ac:dyDescent="0.25">
      <c r="B143" t="s">
        <v>327</v>
      </c>
      <c r="C143">
        <v>0.14510288065843621</v>
      </c>
    </row>
    <row r="144" spans="2:3" x14ac:dyDescent="0.25">
      <c r="B144" t="s">
        <v>332</v>
      </c>
      <c r="C144">
        <v>0.16602150537634408</v>
      </c>
    </row>
    <row r="145" spans="2:3" x14ac:dyDescent="0.25">
      <c r="B145" t="s">
        <v>326</v>
      </c>
      <c r="C145">
        <v>0.13245192307692308</v>
      </c>
    </row>
    <row r="146" spans="2:3" x14ac:dyDescent="0.25">
      <c r="B146" t="s">
        <v>327</v>
      </c>
      <c r="C146">
        <v>0.13328369322412506</v>
      </c>
    </row>
    <row r="147" spans="2:3" x14ac:dyDescent="0.25">
      <c r="B147" t="s">
        <v>326</v>
      </c>
      <c r="C147">
        <v>0.13400611620795108</v>
      </c>
    </row>
    <row r="148" spans="2:3" x14ac:dyDescent="0.25">
      <c r="B148" t="s">
        <v>328</v>
      </c>
      <c r="C148">
        <v>0.13741007194244603</v>
      </c>
    </row>
    <row r="149" spans="2:3" x14ac:dyDescent="0.25">
      <c r="B149" t="s">
        <v>326</v>
      </c>
      <c r="C149">
        <v>0.15350248207391062</v>
      </c>
    </row>
    <row r="150" spans="2:3" x14ac:dyDescent="0.25">
      <c r="B150" t="s">
        <v>331</v>
      </c>
      <c r="C150">
        <v>0.1608133971291866</v>
      </c>
    </row>
    <row r="151" spans="2:3" x14ac:dyDescent="0.25">
      <c r="B151" t="s">
        <v>329</v>
      </c>
      <c r="C151">
        <v>0.14527595884003741</v>
      </c>
    </row>
    <row r="152" spans="2:3" x14ac:dyDescent="0.25">
      <c r="B152" t="s">
        <v>327</v>
      </c>
      <c r="C152">
        <v>0.11485992691839221</v>
      </c>
    </row>
    <row r="153" spans="2:3" x14ac:dyDescent="0.25">
      <c r="B153" t="s">
        <v>331</v>
      </c>
      <c r="C153">
        <v>0.11266968325791854</v>
      </c>
    </row>
    <row r="154" spans="2:3" x14ac:dyDescent="0.25">
      <c r="B154" t="s">
        <v>332</v>
      </c>
      <c r="C154">
        <v>0.14651665945478148</v>
      </c>
    </row>
    <row r="155" spans="2:3" x14ac:dyDescent="0.25">
      <c r="B155" t="s">
        <v>329</v>
      </c>
      <c r="C155">
        <v>0.13167281672816727</v>
      </c>
    </row>
    <row r="156" spans="2:3" x14ac:dyDescent="0.25">
      <c r="B156" t="s">
        <v>332</v>
      </c>
      <c r="C156">
        <v>0.15463242698892246</v>
      </c>
    </row>
    <row r="157" spans="2:3" x14ac:dyDescent="0.25">
      <c r="B157" t="s">
        <v>330</v>
      </c>
      <c r="C157">
        <v>0.13486590038314178</v>
      </c>
    </row>
    <row r="158" spans="2:3" x14ac:dyDescent="0.25">
      <c r="B158" t="s">
        <v>327</v>
      </c>
      <c r="C158">
        <v>0.12581747193753051</v>
      </c>
    </row>
    <row r="159" spans="2:3" x14ac:dyDescent="0.25">
      <c r="B159" t="s">
        <v>329</v>
      </c>
      <c r="C159">
        <v>0.11554752066115703</v>
      </c>
    </row>
    <row r="160" spans="2:3" x14ac:dyDescent="0.25">
      <c r="B160" t="s">
        <v>330</v>
      </c>
      <c r="C160">
        <v>0.13030814689742506</v>
      </c>
    </row>
    <row r="161" spans="2:3" x14ac:dyDescent="0.25">
      <c r="B161" t="s">
        <v>329</v>
      </c>
      <c r="C161">
        <v>0.15784313725490196</v>
      </c>
    </row>
    <row r="162" spans="2:3" x14ac:dyDescent="0.25">
      <c r="B162" t="s">
        <v>330</v>
      </c>
      <c r="C162">
        <v>0.11340482573726543</v>
      </c>
    </row>
    <row r="163" spans="2:3" x14ac:dyDescent="0.25">
      <c r="B163" t="s">
        <v>328</v>
      </c>
      <c r="C163">
        <v>0.1173848439821694</v>
      </c>
    </row>
    <row r="164" spans="2:3" x14ac:dyDescent="0.25">
      <c r="B164" t="s">
        <v>332</v>
      </c>
      <c r="C164">
        <v>0.13785310734463277</v>
      </c>
    </row>
    <row r="165" spans="2:3" x14ac:dyDescent="0.25">
      <c r="B165" t="s">
        <v>329</v>
      </c>
      <c r="C165">
        <v>0.13996549741230591</v>
      </c>
    </row>
    <row r="166" spans="2:3" x14ac:dyDescent="0.25">
      <c r="B166" t="s">
        <v>332</v>
      </c>
      <c r="C166">
        <v>0.13649798477384684</v>
      </c>
    </row>
    <row r="167" spans="2:3" x14ac:dyDescent="0.25">
      <c r="B167" t="s">
        <v>326</v>
      </c>
      <c r="C167">
        <v>0.15683297180043385</v>
      </c>
    </row>
    <row r="168" spans="2:3" x14ac:dyDescent="0.25">
      <c r="B168" t="s">
        <v>327</v>
      </c>
      <c r="C168">
        <v>0.12035294117647059</v>
      </c>
    </row>
    <row r="169" spans="2:3" x14ac:dyDescent="0.25">
      <c r="B169" t="s">
        <v>331</v>
      </c>
      <c r="C169">
        <v>0.15598219254312745</v>
      </c>
    </row>
    <row r="170" spans="2:3" x14ac:dyDescent="0.25">
      <c r="B170" t="s">
        <v>329</v>
      </c>
      <c r="C170">
        <v>0.14494047619047618</v>
      </c>
    </row>
    <row r="171" spans="2:3" x14ac:dyDescent="0.25">
      <c r="B171" t="s">
        <v>327</v>
      </c>
      <c r="C171">
        <v>0.13065693430656933</v>
      </c>
    </row>
    <row r="172" spans="2:3" x14ac:dyDescent="0.25">
      <c r="B172" t="s">
        <v>326</v>
      </c>
      <c r="C172">
        <v>0.11285393258426966</v>
      </c>
    </row>
    <row r="173" spans="2:3" x14ac:dyDescent="0.25">
      <c r="B173" t="s">
        <v>330</v>
      </c>
      <c r="C173">
        <v>0.125</v>
      </c>
    </row>
    <row r="174" spans="2:3" x14ac:dyDescent="0.25">
      <c r="B174" t="s">
        <v>327</v>
      </c>
      <c r="C174">
        <v>0.11982543640897754</v>
      </c>
    </row>
    <row r="175" spans="2:3" x14ac:dyDescent="0.25">
      <c r="B175" t="s">
        <v>329</v>
      </c>
      <c r="C175">
        <v>0.11736242884250472</v>
      </c>
    </row>
    <row r="176" spans="2:3" x14ac:dyDescent="0.25">
      <c r="B176" t="s">
        <v>332</v>
      </c>
      <c r="C176">
        <v>0.11627906976744186</v>
      </c>
    </row>
    <row r="177" spans="2:3" x14ac:dyDescent="0.25">
      <c r="B177" t="s">
        <v>326</v>
      </c>
      <c r="C177">
        <v>0.15286885245901638</v>
      </c>
    </row>
    <row r="178" spans="2:3" x14ac:dyDescent="0.25">
      <c r="B178" t="s">
        <v>326</v>
      </c>
      <c r="C178">
        <v>0.1662655601659751</v>
      </c>
    </row>
    <row r="179" spans="2:3" x14ac:dyDescent="0.25">
      <c r="B179" t="s">
        <v>327</v>
      </c>
      <c r="C179">
        <v>0.11450903761602346</v>
      </c>
    </row>
    <row r="180" spans="2:3" x14ac:dyDescent="0.25">
      <c r="B180" t="s">
        <v>331</v>
      </c>
      <c r="C180">
        <v>0.1601713062098501</v>
      </c>
    </row>
    <row r="181" spans="2:3" x14ac:dyDescent="0.25">
      <c r="B181" t="s">
        <v>329</v>
      </c>
      <c r="C181">
        <v>0.14682213077274806</v>
      </c>
    </row>
    <row r="182" spans="2:3" x14ac:dyDescent="0.25">
      <c r="B182" t="s">
        <v>332</v>
      </c>
      <c r="C182">
        <v>0.14844720496894409</v>
      </c>
    </row>
    <row r="183" spans="2:3" x14ac:dyDescent="0.25">
      <c r="B183" t="s">
        <v>327</v>
      </c>
      <c r="C183">
        <v>0.13121693121693123</v>
      </c>
    </row>
    <row r="184" spans="2:3" x14ac:dyDescent="0.25">
      <c r="B184" t="s">
        <v>326</v>
      </c>
      <c r="C184">
        <v>0.12992481203007519</v>
      </c>
    </row>
    <row r="185" spans="2:3" x14ac:dyDescent="0.25">
      <c r="B185" t="s">
        <v>329</v>
      </c>
      <c r="C185">
        <v>0.16056034482758622</v>
      </c>
    </row>
    <row r="186" spans="2:3" x14ac:dyDescent="0.25">
      <c r="B186" t="s">
        <v>331</v>
      </c>
      <c r="C186">
        <v>0.11776595744680851</v>
      </c>
    </row>
    <row r="187" spans="2:3" x14ac:dyDescent="0.25">
      <c r="B187" t="s">
        <v>328</v>
      </c>
      <c r="C187">
        <v>0.11966955153422504</v>
      </c>
    </row>
    <row r="188" spans="2:3" x14ac:dyDescent="0.25">
      <c r="B188" t="s">
        <v>329</v>
      </c>
      <c r="C188">
        <v>0.12690058479532162</v>
      </c>
    </row>
    <row r="189" spans="2:3" x14ac:dyDescent="0.25">
      <c r="B189" t="s">
        <v>326</v>
      </c>
      <c r="C189">
        <v>0.12539877300613497</v>
      </c>
    </row>
    <row r="190" spans="2:3" x14ac:dyDescent="0.25">
      <c r="B190" t="s">
        <v>326</v>
      </c>
      <c r="C190">
        <v>0.1489010989010989</v>
      </c>
    </row>
    <row r="191" spans="2:3" x14ac:dyDescent="0.25">
      <c r="B191" t="s">
        <v>327</v>
      </c>
      <c r="C191">
        <v>0.15463917525773194</v>
      </c>
    </row>
    <row r="192" spans="2:3" x14ac:dyDescent="0.25">
      <c r="B192" t="s">
        <v>331</v>
      </c>
      <c r="C192">
        <v>0.14263157894736841</v>
      </c>
    </row>
    <row r="193" spans="2:3" x14ac:dyDescent="0.25">
      <c r="B193" t="s">
        <v>327</v>
      </c>
      <c r="C193">
        <v>0.13998686802363755</v>
      </c>
    </row>
    <row r="194" spans="2:3" x14ac:dyDescent="0.25">
      <c r="B194" t="s">
        <v>327</v>
      </c>
      <c r="C194">
        <v>0.11470104223806911</v>
      </c>
    </row>
    <row r="195" spans="2:3" x14ac:dyDescent="0.25">
      <c r="B195" t="s">
        <v>326</v>
      </c>
      <c r="C195">
        <v>0.12953367875647667</v>
      </c>
    </row>
    <row r="196" spans="2:3" x14ac:dyDescent="0.25">
      <c r="B196" t="s">
        <v>327</v>
      </c>
      <c r="C196">
        <v>0.13037190082644629</v>
      </c>
    </row>
    <row r="197" spans="2:3" x14ac:dyDescent="0.25">
      <c r="B197" t="s">
        <v>332</v>
      </c>
      <c r="C197">
        <v>0.1401713469776297</v>
      </c>
    </row>
    <row r="198" spans="2:3" x14ac:dyDescent="0.25">
      <c r="B198" t="s">
        <v>327</v>
      </c>
      <c r="C198">
        <v>0.14575432811211872</v>
      </c>
    </row>
    <row r="199" spans="2:3" x14ac:dyDescent="0.25">
      <c r="B199" t="s">
        <v>327</v>
      </c>
      <c r="C199">
        <v>0.13590480098481739</v>
      </c>
    </row>
    <row r="200" spans="2:3" x14ac:dyDescent="0.25">
      <c r="B200" t="s">
        <v>331</v>
      </c>
      <c r="C200">
        <v>0.13322286661143329</v>
      </c>
    </row>
    <row r="201" spans="2:3" x14ac:dyDescent="0.25">
      <c r="B201" t="s">
        <v>329</v>
      </c>
      <c r="C201">
        <v>0.14228923920493489</v>
      </c>
    </row>
    <row r="202" spans="2:3" x14ac:dyDescent="0.25">
      <c r="B202" t="s">
        <v>327</v>
      </c>
      <c r="C202">
        <v>0.14518096787311915</v>
      </c>
    </row>
    <row r="203" spans="2:3" x14ac:dyDescent="0.25">
      <c r="B203" t="s">
        <v>329</v>
      </c>
      <c r="C203">
        <v>0.15689243027888447</v>
      </c>
    </row>
    <row r="204" spans="2:3" x14ac:dyDescent="0.25">
      <c r="B204" t="s">
        <v>332</v>
      </c>
      <c r="C204">
        <v>0.1554488989271598</v>
      </c>
    </row>
    <row r="205" spans="2:3" x14ac:dyDescent="0.25">
      <c r="B205" t="s">
        <v>327</v>
      </c>
      <c r="C205">
        <v>0.14845605700712589</v>
      </c>
    </row>
    <row r="206" spans="2:3" x14ac:dyDescent="0.25">
      <c r="B206" t="s">
        <v>326</v>
      </c>
      <c r="C206">
        <v>0.12697961119013751</v>
      </c>
    </row>
    <row r="207" spans="2:3" x14ac:dyDescent="0.25">
      <c r="B207" t="s">
        <v>329</v>
      </c>
      <c r="C207">
        <v>0.14414607948442534</v>
      </c>
    </row>
    <row r="208" spans="2:3" x14ac:dyDescent="0.25">
      <c r="B208" t="s">
        <v>329</v>
      </c>
      <c r="C208">
        <v>0.15718816067653277</v>
      </c>
    </row>
    <row r="209" spans="2:3" x14ac:dyDescent="0.25">
      <c r="B209" t="s">
        <v>327</v>
      </c>
      <c r="C209">
        <v>0.11254416961130742</v>
      </c>
    </row>
    <row r="210" spans="2:3" x14ac:dyDescent="0.25">
      <c r="B210" t="s">
        <v>332</v>
      </c>
      <c r="C210">
        <v>0.1589435774309724</v>
      </c>
    </row>
    <row r="211" spans="2:3" x14ac:dyDescent="0.25">
      <c r="B211" t="s">
        <v>328</v>
      </c>
      <c r="C211">
        <v>0.13046874999999999</v>
      </c>
    </row>
    <row r="212" spans="2:3" x14ac:dyDescent="0.25">
      <c r="B212" t="s">
        <v>331</v>
      </c>
      <c r="C212">
        <v>0.11649297689170821</v>
      </c>
    </row>
    <row r="213" spans="2:3" x14ac:dyDescent="0.25">
      <c r="B213" t="s">
        <v>331</v>
      </c>
      <c r="C213">
        <v>0.16476190476190475</v>
      </c>
    </row>
    <row r="214" spans="2:3" x14ac:dyDescent="0.25">
      <c r="B214" t="s">
        <v>330</v>
      </c>
      <c r="C214">
        <v>0.13495652173913042</v>
      </c>
    </row>
    <row r="215" spans="2:3" x14ac:dyDescent="0.25">
      <c r="B215" t="s">
        <v>330</v>
      </c>
      <c r="C215">
        <v>0.1181981981981982</v>
      </c>
    </row>
    <row r="216" spans="2:3" x14ac:dyDescent="0.25">
      <c r="B216" t="s">
        <v>326</v>
      </c>
      <c r="C216">
        <v>0.12402135231316727</v>
      </c>
    </row>
    <row r="217" spans="2:3" x14ac:dyDescent="0.25">
      <c r="B217" t="s">
        <v>330</v>
      </c>
      <c r="C217">
        <v>0.16338870431893687</v>
      </c>
    </row>
    <row r="218" spans="2:3" x14ac:dyDescent="0.25">
      <c r="B218" t="s">
        <v>327</v>
      </c>
      <c r="C218">
        <v>0.13048986486486486</v>
      </c>
    </row>
    <row r="219" spans="2:3" x14ac:dyDescent="0.25">
      <c r="B219" t="s">
        <v>327</v>
      </c>
      <c r="C219">
        <v>0.13577981651376148</v>
      </c>
    </row>
    <row r="220" spans="2:3" x14ac:dyDescent="0.25">
      <c r="B220" t="s">
        <v>327</v>
      </c>
      <c r="C220">
        <v>0.13153611393692777</v>
      </c>
    </row>
    <row r="221" spans="2:3" x14ac:dyDescent="0.25">
      <c r="B221" t="s">
        <v>329</v>
      </c>
      <c r="C221">
        <v>0.13645161290322583</v>
      </c>
    </row>
    <row r="222" spans="2:3" x14ac:dyDescent="0.25">
      <c r="B222" t="s">
        <v>331</v>
      </c>
      <c r="C222">
        <v>0.11476702508960575</v>
      </c>
    </row>
    <row r="223" spans="2:3" x14ac:dyDescent="0.25">
      <c r="B223" t="s">
        <v>332</v>
      </c>
      <c r="C223">
        <v>0.11227799227799228</v>
      </c>
    </row>
    <row r="224" spans="2:3" x14ac:dyDescent="0.25">
      <c r="B224" t="s">
        <v>327</v>
      </c>
      <c r="C224">
        <v>0.14475859069160504</v>
      </c>
    </row>
    <row r="225" spans="2:3" x14ac:dyDescent="0.25">
      <c r="B225" t="s">
        <v>331</v>
      </c>
      <c r="C225">
        <v>0.13828647925033466</v>
      </c>
    </row>
    <row r="226" spans="2:3" x14ac:dyDescent="0.25">
      <c r="B226" t="s">
        <v>329</v>
      </c>
      <c r="C226">
        <v>0.16406869220607662</v>
      </c>
    </row>
    <row r="227" spans="2:3" x14ac:dyDescent="0.25">
      <c r="B227" t="s">
        <v>331</v>
      </c>
      <c r="C227">
        <v>0.13062583222370175</v>
      </c>
    </row>
    <row r="228" spans="2:3" x14ac:dyDescent="0.25">
      <c r="B228" t="s">
        <v>332</v>
      </c>
      <c r="C228">
        <v>0.161840490797546</v>
      </c>
    </row>
    <row r="229" spans="2:3" x14ac:dyDescent="0.25">
      <c r="B229" t="s">
        <v>327</v>
      </c>
      <c r="C229">
        <v>0.14373149062191512</v>
      </c>
    </row>
    <row r="230" spans="2:3" x14ac:dyDescent="0.25">
      <c r="B230" t="s">
        <v>332</v>
      </c>
      <c r="C230">
        <v>0.15307443365695794</v>
      </c>
    </row>
    <row r="231" spans="2:3" x14ac:dyDescent="0.25">
      <c r="B231" t="s">
        <v>327</v>
      </c>
      <c r="C231">
        <v>0.11478599221789884</v>
      </c>
    </row>
    <row r="232" spans="2:3" x14ac:dyDescent="0.25">
      <c r="B232" t="s">
        <v>327</v>
      </c>
      <c r="C232">
        <v>0.13211009174311925</v>
      </c>
    </row>
    <row r="233" spans="2:3" x14ac:dyDescent="0.25">
      <c r="B233" t="s">
        <v>329</v>
      </c>
      <c r="C233">
        <v>0.12086107412339103</v>
      </c>
    </row>
    <row r="234" spans="2:3" x14ac:dyDescent="0.25">
      <c r="B234" t="s">
        <v>331</v>
      </c>
      <c r="C234">
        <v>0.1112964366944655</v>
      </c>
    </row>
    <row r="235" spans="2:3" x14ac:dyDescent="0.25">
      <c r="B235" t="s">
        <v>331</v>
      </c>
      <c r="C235">
        <v>0.13077625570776255</v>
      </c>
    </row>
    <row r="236" spans="2:3" x14ac:dyDescent="0.25">
      <c r="B236" t="s">
        <v>328</v>
      </c>
      <c r="C236">
        <v>0.12125000000000001</v>
      </c>
    </row>
    <row r="237" spans="2:3" x14ac:dyDescent="0.25">
      <c r="B237" t="s">
        <v>331</v>
      </c>
      <c r="C237">
        <v>0.13546448087431692</v>
      </c>
    </row>
    <row r="238" spans="2:3" x14ac:dyDescent="0.25">
      <c r="B238" t="s">
        <v>329</v>
      </c>
      <c r="C238">
        <v>0.16449925261584455</v>
      </c>
    </row>
    <row r="239" spans="2:3" x14ac:dyDescent="0.25">
      <c r="B239" t="s">
        <v>332</v>
      </c>
      <c r="C239">
        <v>0.14705882352941174</v>
      </c>
    </row>
    <row r="240" spans="2:3" x14ac:dyDescent="0.25">
      <c r="B240" t="s">
        <v>330</v>
      </c>
      <c r="C240">
        <v>0.11915802318486883</v>
      </c>
    </row>
    <row r="241" spans="2:3" x14ac:dyDescent="0.25">
      <c r="B241" t="s">
        <v>326</v>
      </c>
      <c r="C241">
        <v>0.13014553014553012</v>
      </c>
    </row>
    <row r="242" spans="2:3" x14ac:dyDescent="0.25">
      <c r="B242" t="s">
        <v>327</v>
      </c>
      <c r="C242">
        <v>0.14537037037037034</v>
      </c>
    </row>
    <row r="243" spans="2:3" x14ac:dyDescent="0.25">
      <c r="B243" t="s">
        <v>331</v>
      </c>
      <c r="C243">
        <v>0.12540861812778603</v>
      </c>
    </row>
    <row r="244" spans="2:3" x14ac:dyDescent="0.25">
      <c r="B244" t="s">
        <v>331</v>
      </c>
      <c r="C244">
        <v>0.14397590361445783</v>
      </c>
    </row>
    <row r="245" spans="2:3" x14ac:dyDescent="0.25">
      <c r="B245" t="s">
        <v>332</v>
      </c>
      <c r="C245">
        <v>0.13247025892232331</v>
      </c>
    </row>
    <row r="246" spans="2:3" x14ac:dyDescent="0.25">
      <c r="B246" t="s">
        <v>326</v>
      </c>
      <c r="C246">
        <v>0.13737811484290358</v>
      </c>
    </row>
    <row r="247" spans="2:3" x14ac:dyDescent="0.25">
      <c r="B247" t="s">
        <v>329</v>
      </c>
      <c r="C247">
        <v>0.16275992438563328</v>
      </c>
    </row>
    <row r="248" spans="2:3" x14ac:dyDescent="0.25">
      <c r="B248" t="s">
        <v>331</v>
      </c>
      <c r="C248">
        <v>0.13561290322580644</v>
      </c>
    </row>
    <row r="249" spans="2:3" x14ac:dyDescent="0.25">
      <c r="B249" t="s">
        <v>327</v>
      </c>
      <c r="C249">
        <v>0.11963190184049079</v>
      </c>
    </row>
    <row r="250" spans="2:3" x14ac:dyDescent="0.25">
      <c r="B250" t="s">
        <v>331</v>
      </c>
      <c r="C250">
        <v>0.15831202046035805</v>
      </c>
    </row>
    <row r="251" spans="2:3" x14ac:dyDescent="0.25">
      <c r="B251" t="s">
        <v>326</v>
      </c>
      <c r="C251">
        <v>0.14518388791593692</v>
      </c>
    </row>
    <row r="252" spans="2:3" x14ac:dyDescent="0.25">
      <c r="B252" t="s">
        <v>330</v>
      </c>
      <c r="C252">
        <v>0.11725584182144996</v>
      </c>
    </row>
    <row r="253" spans="2:3" x14ac:dyDescent="0.25">
      <c r="B253" t="s">
        <v>328</v>
      </c>
      <c r="C253">
        <v>0.13890030832476877</v>
      </c>
    </row>
    <row r="254" spans="2:3" x14ac:dyDescent="0.25">
      <c r="B254" t="s">
        <v>331</v>
      </c>
      <c r="C254">
        <v>0.1470301057770545</v>
      </c>
    </row>
    <row r="255" spans="2:3" x14ac:dyDescent="0.25">
      <c r="B255" t="s">
        <v>332</v>
      </c>
      <c r="C255">
        <v>0.13077699293642786</v>
      </c>
    </row>
    <row r="256" spans="2:3" x14ac:dyDescent="0.25">
      <c r="B256" t="s">
        <v>329</v>
      </c>
      <c r="C256">
        <v>0.11613418530351437</v>
      </c>
    </row>
    <row r="257" spans="2:3" x14ac:dyDescent="0.25">
      <c r="B257" t="s">
        <v>330</v>
      </c>
      <c r="C257">
        <v>0.16268656716417909</v>
      </c>
    </row>
    <row r="258" spans="2:3" x14ac:dyDescent="0.25">
      <c r="B258" t="s">
        <v>332</v>
      </c>
      <c r="C258">
        <v>0.1270440251572327</v>
      </c>
    </row>
    <row r="259" spans="2:3" x14ac:dyDescent="0.25">
      <c r="B259" t="s">
        <v>330</v>
      </c>
      <c r="C259">
        <v>0.11504702194357368</v>
      </c>
    </row>
    <row r="260" spans="2:3" x14ac:dyDescent="0.25">
      <c r="B260" t="s">
        <v>331</v>
      </c>
      <c r="C260">
        <v>0.14397905759162302</v>
      </c>
    </row>
    <row r="261" spans="2:3" x14ac:dyDescent="0.25">
      <c r="B261" t="s">
        <v>328</v>
      </c>
      <c r="C261">
        <v>0.14627039627039629</v>
      </c>
    </row>
    <row r="262" spans="2:3" x14ac:dyDescent="0.25">
      <c r="B262" t="s">
        <v>327</v>
      </c>
      <c r="C262">
        <v>0.1644574780058651</v>
      </c>
    </row>
    <row r="263" spans="2:3" x14ac:dyDescent="0.25">
      <c r="B263" t="s">
        <v>326</v>
      </c>
      <c r="C263">
        <v>0.14439946018893388</v>
      </c>
    </row>
    <row r="264" spans="2:3" x14ac:dyDescent="0.25">
      <c r="B264" t="s">
        <v>326</v>
      </c>
      <c r="C264">
        <v>0.11454918032786886</v>
      </c>
    </row>
    <row r="265" spans="2:3" x14ac:dyDescent="0.25">
      <c r="B265" t="s">
        <v>330</v>
      </c>
      <c r="C265">
        <v>0.13682771194165907</v>
      </c>
    </row>
    <row r="266" spans="2:3" x14ac:dyDescent="0.25">
      <c r="B266" t="s">
        <v>327</v>
      </c>
      <c r="C266">
        <v>0.12410008779631254</v>
      </c>
    </row>
    <row r="267" spans="2:3" x14ac:dyDescent="0.25">
      <c r="B267" t="s">
        <v>331</v>
      </c>
      <c r="C267">
        <v>0.1512820512820513</v>
      </c>
    </row>
    <row r="268" spans="2:3" x14ac:dyDescent="0.25">
      <c r="B268" t="s">
        <v>329</v>
      </c>
      <c r="C268">
        <v>0.13846153846153844</v>
      </c>
    </row>
    <row r="269" spans="2:3" x14ac:dyDescent="0.25">
      <c r="B269" t="s">
        <v>330</v>
      </c>
      <c r="C269">
        <v>0.11599999999999999</v>
      </c>
    </row>
    <row r="270" spans="2:3" x14ac:dyDescent="0.25">
      <c r="B270" t="s">
        <v>331</v>
      </c>
      <c r="C270">
        <v>0.13933035714285716</v>
      </c>
    </row>
    <row r="271" spans="2:3" x14ac:dyDescent="0.25">
      <c r="B271" t="s">
        <v>327</v>
      </c>
      <c r="C271">
        <v>0.15918979744936232</v>
      </c>
    </row>
    <row r="272" spans="2:3" x14ac:dyDescent="0.25">
      <c r="B272" t="s">
        <v>332</v>
      </c>
      <c r="C272">
        <v>0.15105485232067509</v>
      </c>
    </row>
    <row r="273" spans="2:3" x14ac:dyDescent="0.25">
      <c r="B273" t="s">
        <v>330</v>
      </c>
      <c r="C273">
        <v>0.1141304347826087</v>
      </c>
    </row>
    <row r="274" spans="2:3" x14ac:dyDescent="0.25">
      <c r="B274" t="s">
        <v>331</v>
      </c>
      <c r="C274">
        <v>0.11883495145631068</v>
      </c>
    </row>
    <row r="275" spans="2:3" x14ac:dyDescent="0.25">
      <c r="B275" t="s">
        <v>328</v>
      </c>
      <c r="C275">
        <v>0.11161578555472822</v>
      </c>
    </row>
    <row r="276" spans="2:3" x14ac:dyDescent="0.25">
      <c r="B276" t="s">
        <v>326</v>
      </c>
      <c r="C276">
        <v>0.12429149797570853</v>
      </c>
    </row>
    <row r="277" spans="2:3" x14ac:dyDescent="0.25">
      <c r="B277" t="s">
        <v>332</v>
      </c>
      <c r="C277">
        <v>0.11528455284552845</v>
      </c>
    </row>
    <row r="278" spans="2:3" x14ac:dyDescent="0.25">
      <c r="B278" t="s">
        <v>331</v>
      </c>
      <c r="C278">
        <v>0.15278044103547461</v>
      </c>
    </row>
    <row r="279" spans="2:3" x14ac:dyDescent="0.25">
      <c r="B279" t="s">
        <v>330</v>
      </c>
      <c r="C279">
        <v>0.14288747346072186</v>
      </c>
    </row>
    <row r="280" spans="2:3" x14ac:dyDescent="0.25">
      <c r="B280" t="s">
        <v>331</v>
      </c>
      <c r="C280">
        <v>0.11357702349869452</v>
      </c>
    </row>
    <row r="281" spans="2:3" x14ac:dyDescent="0.25">
      <c r="B281" t="s">
        <v>327</v>
      </c>
      <c r="C281">
        <v>0.14420449537241076</v>
      </c>
    </row>
    <row r="282" spans="2:3" x14ac:dyDescent="0.25">
      <c r="B282" t="s">
        <v>330</v>
      </c>
      <c r="C282">
        <v>0.11506849315068493</v>
      </c>
    </row>
    <row r="283" spans="2:3" x14ac:dyDescent="0.25">
      <c r="B283" t="s">
        <v>328</v>
      </c>
      <c r="C283">
        <v>0.16656410256410256</v>
      </c>
    </row>
    <row r="284" spans="2:3" x14ac:dyDescent="0.25">
      <c r="B284" t="s">
        <v>331</v>
      </c>
      <c r="C284">
        <v>0.12101616628175521</v>
      </c>
    </row>
    <row r="285" spans="2:3" x14ac:dyDescent="0.25">
      <c r="B285" t="s">
        <v>328</v>
      </c>
      <c r="C285">
        <v>0.16201117318435754</v>
      </c>
    </row>
    <row r="286" spans="2:3" x14ac:dyDescent="0.25">
      <c r="B286" t="s">
        <v>330</v>
      </c>
      <c r="C286">
        <v>0.12657142857142856</v>
      </c>
    </row>
    <row r="287" spans="2:3" x14ac:dyDescent="0.25">
      <c r="B287" t="s">
        <v>326</v>
      </c>
      <c r="C287">
        <v>0.12872101720269261</v>
      </c>
    </row>
    <row r="288" spans="2:3" x14ac:dyDescent="0.25">
      <c r="B288" t="s">
        <v>329</v>
      </c>
      <c r="C288">
        <v>0.13399701343952217</v>
      </c>
    </row>
    <row r="289" spans="2:3" x14ac:dyDescent="0.25">
      <c r="B289" t="s">
        <v>327</v>
      </c>
      <c r="C289">
        <v>0.13743492664458115</v>
      </c>
    </row>
    <row r="290" spans="2:3" x14ac:dyDescent="0.25">
      <c r="B290" t="s">
        <v>327</v>
      </c>
      <c r="C290">
        <v>0.12002518891687655</v>
      </c>
    </row>
    <row r="291" spans="2:3" x14ac:dyDescent="0.25">
      <c r="B291" t="s">
        <v>328</v>
      </c>
      <c r="C291">
        <v>0.14565217391304344</v>
      </c>
    </row>
    <row r="292" spans="2:3" x14ac:dyDescent="0.25">
      <c r="B292" t="s">
        <v>330</v>
      </c>
      <c r="C292">
        <v>0.16439330543933053</v>
      </c>
    </row>
    <row r="293" spans="2:3" x14ac:dyDescent="0.25">
      <c r="B293" t="s">
        <v>327</v>
      </c>
      <c r="C293">
        <v>0.12073170731707318</v>
      </c>
    </row>
    <row r="294" spans="2:3" x14ac:dyDescent="0.25">
      <c r="B294" t="s">
        <v>329</v>
      </c>
      <c r="C294">
        <v>0.15087983911513322</v>
      </c>
    </row>
    <row r="295" spans="2:3" x14ac:dyDescent="0.25">
      <c r="B295" t="s">
        <v>330</v>
      </c>
      <c r="C295">
        <v>0.13140218303946263</v>
      </c>
    </row>
    <row r="296" spans="2:3" x14ac:dyDescent="0.25">
      <c r="B296" t="s">
        <v>327</v>
      </c>
      <c r="C296">
        <v>0.11727395411605938</v>
      </c>
    </row>
    <row r="297" spans="2:3" x14ac:dyDescent="0.25">
      <c r="B297" t="s">
        <v>328</v>
      </c>
      <c r="C297">
        <v>0.12020592020592021</v>
      </c>
    </row>
    <row r="298" spans="2:3" x14ac:dyDescent="0.25">
      <c r="B298" t="s">
        <v>328</v>
      </c>
      <c r="C298">
        <v>0.15995717344753746</v>
      </c>
    </row>
    <row r="299" spans="2:3" x14ac:dyDescent="0.25">
      <c r="B299" t="s">
        <v>330</v>
      </c>
      <c r="C299">
        <v>0.1188883170355121</v>
      </c>
    </row>
    <row r="300" spans="2:3" x14ac:dyDescent="0.25">
      <c r="B300" t="s">
        <v>328</v>
      </c>
      <c r="C300">
        <v>0.16374269005847952</v>
      </c>
    </row>
    <row r="301" spans="2:3" x14ac:dyDescent="0.25">
      <c r="B301" t="s">
        <v>331</v>
      </c>
      <c r="C301">
        <v>0.12560386473429952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5620-B144-422A-B947-AB7968DBC86F}">
  <dimension ref="B1:E301"/>
  <sheetViews>
    <sheetView workbookViewId="0">
      <selection activeCell="I3" sqref="I3"/>
    </sheetView>
  </sheetViews>
  <sheetFormatPr defaultRowHeight="15" x14ac:dyDescent="0.25"/>
  <cols>
    <col min="2" max="2" width="15" bestFit="1" customWidth="1"/>
  </cols>
  <sheetData>
    <row r="1" spans="2:5" x14ac:dyDescent="0.25">
      <c r="B1" s="1" t="s">
        <v>15</v>
      </c>
    </row>
    <row r="2" spans="2:5" x14ac:dyDescent="0.25">
      <c r="B2" t="s">
        <v>1217</v>
      </c>
    </row>
    <row r="3" spans="2:5" x14ac:dyDescent="0.25">
      <c r="B3" t="s">
        <v>1217</v>
      </c>
    </row>
    <row r="4" spans="2:5" x14ac:dyDescent="0.25">
      <c r="B4" t="s">
        <v>1217</v>
      </c>
      <c r="D4" t="s">
        <v>1217</v>
      </c>
      <c r="E4">
        <f>COUNTIF(B2:B301, "Delayed")</f>
        <v>213</v>
      </c>
    </row>
    <row r="5" spans="2:5" x14ac:dyDescent="0.25">
      <c r="B5" t="s">
        <v>1217</v>
      </c>
      <c r="D5" t="s">
        <v>1218</v>
      </c>
      <c r="E5">
        <f>COUNTIF(B2:B301, "On Time")</f>
        <v>87</v>
      </c>
    </row>
    <row r="6" spans="2:5" x14ac:dyDescent="0.25">
      <c r="B6" t="s">
        <v>1217</v>
      </c>
    </row>
    <row r="7" spans="2:5" x14ac:dyDescent="0.25">
      <c r="B7" t="s">
        <v>1217</v>
      </c>
    </row>
    <row r="8" spans="2:5" x14ac:dyDescent="0.25">
      <c r="B8" t="s">
        <v>1217</v>
      </c>
    </row>
    <row r="9" spans="2:5" x14ac:dyDescent="0.25">
      <c r="B9" t="s">
        <v>1218</v>
      </c>
    </row>
    <row r="10" spans="2:5" x14ac:dyDescent="0.25">
      <c r="B10" t="s">
        <v>1217</v>
      </c>
    </row>
    <row r="11" spans="2:5" x14ac:dyDescent="0.25">
      <c r="B11" t="s">
        <v>1217</v>
      </c>
    </row>
    <row r="12" spans="2:5" x14ac:dyDescent="0.25">
      <c r="B12" t="s">
        <v>1218</v>
      </c>
    </row>
    <row r="13" spans="2:5" x14ac:dyDescent="0.25">
      <c r="B13" t="s">
        <v>1217</v>
      </c>
    </row>
    <row r="14" spans="2:5" x14ac:dyDescent="0.25">
      <c r="B14" t="s">
        <v>1217</v>
      </c>
    </row>
    <row r="15" spans="2:5" x14ac:dyDescent="0.25">
      <c r="B15" t="s">
        <v>1217</v>
      </c>
    </row>
    <row r="16" spans="2:5" x14ac:dyDescent="0.25">
      <c r="B16" t="s">
        <v>1217</v>
      </c>
    </row>
    <row r="17" spans="2:2" x14ac:dyDescent="0.25">
      <c r="B17" t="s">
        <v>1218</v>
      </c>
    </row>
    <row r="18" spans="2:2" x14ac:dyDescent="0.25">
      <c r="B18" t="s">
        <v>1217</v>
      </c>
    </row>
    <row r="19" spans="2:2" x14ac:dyDescent="0.25">
      <c r="B19" t="s">
        <v>1217</v>
      </c>
    </row>
    <row r="20" spans="2:2" x14ac:dyDescent="0.25">
      <c r="B20" t="s">
        <v>1217</v>
      </c>
    </row>
    <row r="21" spans="2:2" x14ac:dyDescent="0.25">
      <c r="B21" t="s">
        <v>1217</v>
      </c>
    </row>
    <row r="22" spans="2:2" x14ac:dyDescent="0.25">
      <c r="B22" t="s">
        <v>1217</v>
      </c>
    </row>
    <row r="23" spans="2:2" x14ac:dyDescent="0.25">
      <c r="B23" t="s">
        <v>1217</v>
      </c>
    </row>
    <row r="24" spans="2:2" x14ac:dyDescent="0.25">
      <c r="B24" t="s">
        <v>1217</v>
      </c>
    </row>
    <row r="25" spans="2:2" x14ac:dyDescent="0.25">
      <c r="B25" t="s">
        <v>1217</v>
      </c>
    </row>
    <row r="26" spans="2:2" x14ac:dyDescent="0.25">
      <c r="B26" t="s">
        <v>1217</v>
      </c>
    </row>
    <row r="27" spans="2:2" x14ac:dyDescent="0.25">
      <c r="B27" t="s">
        <v>1217</v>
      </c>
    </row>
    <row r="28" spans="2:2" x14ac:dyDescent="0.25">
      <c r="B28" t="s">
        <v>1217</v>
      </c>
    </row>
    <row r="29" spans="2:2" x14ac:dyDescent="0.25">
      <c r="B29" t="s">
        <v>1217</v>
      </c>
    </row>
    <row r="30" spans="2:2" x14ac:dyDescent="0.25">
      <c r="B30" t="s">
        <v>1217</v>
      </c>
    </row>
    <row r="31" spans="2:2" x14ac:dyDescent="0.25">
      <c r="B31" t="s">
        <v>1217</v>
      </c>
    </row>
    <row r="32" spans="2:2" x14ac:dyDescent="0.25">
      <c r="B32" t="s">
        <v>1217</v>
      </c>
    </row>
    <row r="33" spans="2:2" x14ac:dyDescent="0.25">
      <c r="B33" t="s">
        <v>1217</v>
      </c>
    </row>
    <row r="34" spans="2:2" x14ac:dyDescent="0.25">
      <c r="B34" t="s">
        <v>1217</v>
      </c>
    </row>
    <row r="35" spans="2:2" x14ac:dyDescent="0.25">
      <c r="B35" t="s">
        <v>1218</v>
      </c>
    </row>
    <row r="36" spans="2:2" x14ac:dyDescent="0.25">
      <c r="B36" t="s">
        <v>1217</v>
      </c>
    </row>
    <row r="37" spans="2:2" x14ac:dyDescent="0.25">
      <c r="B37" t="s">
        <v>1217</v>
      </c>
    </row>
    <row r="38" spans="2:2" x14ac:dyDescent="0.25">
      <c r="B38" t="s">
        <v>1217</v>
      </c>
    </row>
    <row r="39" spans="2:2" x14ac:dyDescent="0.25">
      <c r="B39" t="s">
        <v>1218</v>
      </c>
    </row>
    <row r="40" spans="2:2" x14ac:dyDescent="0.25">
      <c r="B40" t="s">
        <v>1218</v>
      </c>
    </row>
    <row r="41" spans="2:2" x14ac:dyDescent="0.25">
      <c r="B41" t="s">
        <v>1217</v>
      </c>
    </row>
    <row r="42" spans="2:2" x14ac:dyDescent="0.25">
      <c r="B42" t="s">
        <v>1218</v>
      </c>
    </row>
    <row r="43" spans="2:2" x14ac:dyDescent="0.25">
      <c r="B43" t="s">
        <v>1217</v>
      </c>
    </row>
    <row r="44" spans="2:2" x14ac:dyDescent="0.25">
      <c r="B44" t="s">
        <v>1218</v>
      </c>
    </row>
    <row r="45" spans="2:2" x14ac:dyDescent="0.25">
      <c r="B45" t="s">
        <v>1218</v>
      </c>
    </row>
    <row r="46" spans="2:2" x14ac:dyDescent="0.25">
      <c r="B46" t="s">
        <v>1217</v>
      </c>
    </row>
    <row r="47" spans="2:2" x14ac:dyDescent="0.25">
      <c r="B47" t="s">
        <v>1217</v>
      </c>
    </row>
    <row r="48" spans="2:2" x14ac:dyDescent="0.25">
      <c r="B48" t="s">
        <v>1217</v>
      </c>
    </row>
    <row r="49" spans="2:2" x14ac:dyDescent="0.25">
      <c r="B49" t="s">
        <v>1218</v>
      </c>
    </row>
    <row r="50" spans="2:2" x14ac:dyDescent="0.25">
      <c r="B50" t="s">
        <v>1217</v>
      </c>
    </row>
    <row r="51" spans="2:2" x14ac:dyDescent="0.25">
      <c r="B51" t="s">
        <v>1218</v>
      </c>
    </row>
    <row r="52" spans="2:2" x14ac:dyDescent="0.25">
      <c r="B52" t="s">
        <v>1217</v>
      </c>
    </row>
    <row r="53" spans="2:2" x14ac:dyDescent="0.25">
      <c r="B53" t="s">
        <v>1217</v>
      </c>
    </row>
    <row r="54" spans="2:2" x14ac:dyDescent="0.25">
      <c r="B54" t="s">
        <v>1217</v>
      </c>
    </row>
    <row r="55" spans="2:2" x14ac:dyDescent="0.25">
      <c r="B55" t="s">
        <v>1217</v>
      </c>
    </row>
    <row r="56" spans="2:2" x14ac:dyDescent="0.25">
      <c r="B56" t="s">
        <v>1217</v>
      </c>
    </row>
    <row r="57" spans="2:2" x14ac:dyDescent="0.25">
      <c r="B57" t="s">
        <v>1217</v>
      </c>
    </row>
    <row r="58" spans="2:2" x14ac:dyDescent="0.25">
      <c r="B58" t="s">
        <v>1217</v>
      </c>
    </row>
    <row r="59" spans="2:2" x14ac:dyDescent="0.25">
      <c r="B59" t="s">
        <v>1217</v>
      </c>
    </row>
    <row r="60" spans="2:2" x14ac:dyDescent="0.25">
      <c r="B60" t="s">
        <v>1217</v>
      </c>
    </row>
    <row r="61" spans="2:2" x14ac:dyDescent="0.25">
      <c r="B61" t="s">
        <v>1217</v>
      </c>
    </row>
    <row r="62" spans="2:2" x14ac:dyDescent="0.25">
      <c r="B62" t="s">
        <v>1217</v>
      </c>
    </row>
    <row r="63" spans="2:2" x14ac:dyDescent="0.25">
      <c r="B63" t="s">
        <v>1217</v>
      </c>
    </row>
    <row r="64" spans="2:2" x14ac:dyDescent="0.25">
      <c r="B64" t="s">
        <v>1217</v>
      </c>
    </row>
    <row r="65" spans="2:2" x14ac:dyDescent="0.25">
      <c r="B65" t="s">
        <v>1217</v>
      </c>
    </row>
    <row r="66" spans="2:2" x14ac:dyDescent="0.25">
      <c r="B66" t="s">
        <v>1217</v>
      </c>
    </row>
    <row r="67" spans="2:2" x14ac:dyDescent="0.25">
      <c r="B67" t="s">
        <v>1217</v>
      </c>
    </row>
    <row r="68" spans="2:2" x14ac:dyDescent="0.25">
      <c r="B68" t="s">
        <v>1217</v>
      </c>
    </row>
    <row r="69" spans="2:2" x14ac:dyDescent="0.25">
      <c r="B69" t="s">
        <v>1217</v>
      </c>
    </row>
    <row r="70" spans="2:2" x14ac:dyDescent="0.25">
      <c r="B70" t="s">
        <v>1218</v>
      </c>
    </row>
    <row r="71" spans="2:2" x14ac:dyDescent="0.25">
      <c r="B71" t="s">
        <v>1217</v>
      </c>
    </row>
    <row r="72" spans="2:2" x14ac:dyDescent="0.25">
      <c r="B72" t="s">
        <v>1217</v>
      </c>
    </row>
    <row r="73" spans="2:2" x14ac:dyDescent="0.25">
      <c r="B73" t="s">
        <v>1217</v>
      </c>
    </row>
    <row r="74" spans="2:2" x14ac:dyDescent="0.25">
      <c r="B74" t="s">
        <v>1218</v>
      </c>
    </row>
    <row r="75" spans="2:2" x14ac:dyDescent="0.25">
      <c r="B75" t="s">
        <v>1218</v>
      </c>
    </row>
    <row r="76" spans="2:2" x14ac:dyDescent="0.25">
      <c r="B76" t="s">
        <v>1217</v>
      </c>
    </row>
    <row r="77" spans="2:2" x14ac:dyDescent="0.25">
      <c r="B77" t="s">
        <v>1217</v>
      </c>
    </row>
    <row r="78" spans="2:2" x14ac:dyDescent="0.25">
      <c r="B78" t="s">
        <v>1218</v>
      </c>
    </row>
    <row r="79" spans="2:2" x14ac:dyDescent="0.25">
      <c r="B79" t="s">
        <v>1217</v>
      </c>
    </row>
    <row r="80" spans="2:2" x14ac:dyDescent="0.25">
      <c r="B80" t="s">
        <v>1218</v>
      </c>
    </row>
    <row r="81" spans="2:2" x14ac:dyDescent="0.25">
      <c r="B81" t="s">
        <v>1217</v>
      </c>
    </row>
    <row r="82" spans="2:2" x14ac:dyDescent="0.25">
      <c r="B82" t="s">
        <v>1217</v>
      </c>
    </row>
    <row r="83" spans="2:2" x14ac:dyDescent="0.25">
      <c r="B83" t="s">
        <v>1218</v>
      </c>
    </row>
    <row r="84" spans="2:2" x14ac:dyDescent="0.25">
      <c r="B84" t="s">
        <v>1217</v>
      </c>
    </row>
    <row r="85" spans="2:2" x14ac:dyDescent="0.25">
      <c r="B85" t="s">
        <v>1217</v>
      </c>
    </row>
    <row r="86" spans="2:2" x14ac:dyDescent="0.25">
      <c r="B86" t="s">
        <v>1217</v>
      </c>
    </row>
    <row r="87" spans="2:2" x14ac:dyDescent="0.25">
      <c r="B87" t="s">
        <v>1217</v>
      </c>
    </row>
    <row r="88" spans="2:2" x14ac:dyDescent="0.25">
      <c r="B88" t="s">
        <v>1218</v>
      </c>
    </row>
    <row r="89" spans="2:2" x14ac:dyDescent="0.25">
      <c r="B89" t="s">
        <v>1217</v>
      </c>
    </row>
    <row r="90" spans="2:2" x14ac:dyDescent="0.25">
      <c r="B90" t="s">
        <v>1217</v>
      </c>
    </row>
    <row r="91" spans="2:2" x14ac:dyDescent="0.25">
      <c r="B91" t="s">
        <v>1217</v>
      </c>
    </row>
    <row r="92" spans="2:2" x14ac:dyDescent="0.25">
      <c r="B92" t="s">
        <v>1217</v>
      </c>
    </row>
    <row r="93" spans="2:2" x14ac:dyDescent="0.25">
      <c r="B93" t="s">
        <v>1218</v>
      </c>
    </row>
    <row r="94" spans="2:2" x14ac:dyDescent="0.25">
      <c r="B94" t="s">
        <v>1217</v>
      </c>
    </row>
    <row r="95" spans="2:2" x14ac:dyDescent="0.25">
      <c r="B95" t="s">
        <v>1217</v>
      </c>
    </row>
    <row r="96" spans="2:2" x14ac:dyDescent="0.25">
      <c r="B96" t="s">
        <v>1217</v>
      </c>
    </row>
    <row r="97" spans="2:2" x14ac:dyDescent="0.25">
      <c r="B97" t="s">
        <v>1217</v>
      </c>
    </row>
    <row r="98" spans="2:2" x14ac:dyDescent="0.25">
      <c r="B98" t="s">
        <v>1218</v>
      </c>
    </row>
    <row r="99" spans="2:2" x14ac:dyDescent="0.25">
      <c r="B99" t="s">
        <v>1217</v>
      </c>
    </row>
    <row r="100" spans="2:2" x14ac:dyDescent="0.25">
      <c r="B100" t="s">
        <v>1218</v>
      </c>
    </row>
    <row r="101" spans="2:2" x14ac:dyDescent="0.25">
      <c r="B101" t="s">
        <v>1217</v>
      </c>
    </row>
    <row r="102" spans="2:2" x14ac:dyDescent="0.25">
      <c r="B102" t="s">
        <v>1217</v>
      </c>
    </row>
    <row r="103" spans="2:2" x14ac:dyDescent="0.25">
      <c r="B103" t="s">
        <v>1217</v>
      </c>
    </row>
    <row r="104" spans="2:2" x14ac:dyDescent="0.25">
      <c r="B104" t="s">
        <v>1217</v>
      </c>
    </row>
    <row r="105" spans="2:2" x14ac:dyDescent="0.25">
      <c r="B105" t="s">
        <v>1218</v>
      </c>
    </row>
    <row r="106" spans="2:2" x14ac:dyDescent="0.25">
      <c r="B106" t="s">
        <v>1217</v>
      </c>
    </row>
    <row r="107" spans="2:2" x14ac:dyDescent="0.25">
      <c r="B107" t="s">
        <v>1217</v>
      </c>
    </row>
    <row r="108" spans="2:2" x14ac:dyDescent="0.25">
      <c r="B108" t="s">
        <v>1217</v>
      </c>
    </row>
    <row r="109" spans="2:2" x14ac:dyDescent="0.25">
      <c r="B109" t="s">
        <v>1217</v>
      </c>
    </row>
    <row r="110" spans="2:2" x14ac:dyDescent="0.25">
      <c r="B110" t="s">
        <v>1217</v>
      </c>
    </row>
    <row r="111" spans="2:2" x14ac:dyDescent="0.25">
      <c r="B111" t="s">
        <v>1218</v>
      </c>
    </row>
    <row r="112" spans="2:2" x14ac:dyDescent="0.25">
      <c r="B112" t="s">
        <v>1218</v>
      </c>
    </row>
    <row r="113" spans="2:2" x14ac:dyDescent="0.25">
      <c r="B113" t="s">
        <v>1217</v>
      </c>
    </row>
    <row r="114" spans="2:2" x14ac:dyDescent="0.25">
      <c r="B114" t="s">
        <v>1217</v>
      </c>
    </row>
    <row r="115" spans="2:2" x14ac:dyDescent="0.25">
      <c r="B115" t="s">
        <v>1217</v>
      </c>
    </row>
    <row r="116" spans="2:2" x14ac:dyDescent="0.25">
      <c r="B116" t="s">
        <v>1218</v>
      </c>
    </row>
    <row r="117" spans="2:2" x14ac:dyDescent="0.25">
      <c r="B117" t="s">
        <v>1217</v>
      </c>
    </row>
    <row r="118" spans="2:2" x14ac:dyDescent="0.25">
      <c r="B118" t="s">
        <v>1218</v>
      </c>
    </row>
    <row r="119" spans="2:2" x14ac:dyDescent="0.25">
      <c r="B119" t="s">
        <v>1218</v>
      </c>
    </row>
    <row r="120" spans="2:2" x14ac:dyDescent="0.25">
      <c r="B120" t="s">
        <v>1217</v>
      </c>
    </row>
    <row r="121" spans="2:2" x14ac:dyDescent="0.25">
      <c r="B121" t="s">
        <v>1217</v>
      </c>
    </row>
    <row r="122" spans="2:2" x14ac:dyDescent="0.25">
      <c r="B122" t="s">
        <v>1218</v>
      </c>
    </row>
    <row r="123" spans="2:2" x14ac:dyDescent="0.25">
      <c r="B123" t="s">
        <v>1217</v>
      </c>
    </row>
    <row r="124" spans="2:2" x14ac:dyDescent="0.25">
      <c r="B124" t="s">
        <v>1218</v>
      </c>
    </row>
    <row r="125" spans="2:2" x14ac:dyDescent="0.25">
      <c r="B125" t="s">
        <v>1217</v>
      </c>
    </row>
    <row r="126" spans="2:2" x14ac:dyDescent="0.25">
      <c r="B126" t="s">
        <v>1217</v>
      </c>
    </row>
    <row r="127" spans="2:2" x14ac:dyDescent="0.25">
      <c r="B127" t="s">
        <v>1218</v>
      </c>
    </row>
    <row r="128" spans="2:2" x14ac:dyDescent="0.25">
      <c r="B128" t="s">
        <v>1217</v>
      </c>
    </row>
    <row r="129" spans="2:2" x14ac:dyDescent="0.25">
      <c r="B129" t="s">
        <v>1218</v>
      </c>
    </row>
    <row r="130" spans="2:2" x14ac:dyDescent="0.25">
      <c r="B130" t="s">
        <v>1217</v>
      </c>
    </row>
    <row r="131" spans="2:2" x14ac:dyDescent="0.25">
      <c r="B131" t="s">
        <v>1217</v>
      </c>
    </row>
    <row r="132" spans="2:2" x14ac:dyDescent="0.25">
      <c r="B132" t="s">
        <v>1218</v>
      </c>
    </row>
    <row r="133" spans="2:2" x14ac:dyDescent="0.25">
      <c r="B133" t="s">
        <v>1217</v>
      </c>
    </row>
    <row r="134" spans="2:2" x14ac:dyDescent="0.25">
      <c r="B134" t="s">
        <v>1217</v>
      </c>
    </row>
    <row r="135" spans="2:2" x14ac:dyDescent="0.25">
      <c r="B135" t="s">
        <v>1217</v>
      </c>
    </row>
    <row r="136" spans="2:2" x14ac:dyDescent="0.25">
      <c r="B136" t="s">
        <v>1217</v>
      </c>
    </row>
    <row r="137" spans="2:2" x14ac:dyDescent="0.25">
      <c r="B137" t="s">
        <v>1218</v>
      </c>
    </row>
    <row r="138" spans="2:2" x14ac:dyDescent="0.25">
      <c r="B138" t="s">
        <v>1218</v>
      </c>
    </row>
    <row r="139" spans="2:2" x14ac:dyDescent="0.25">
      <c r="B139" t="s">
        <v>1217</v>
      </c>
    </row>
    <row r="140" spans="2:2" x14ac:dyDescent="0.25">
      <c r="B140" t="s">
        <v>1218</v>
      </c>
    </row>
    <row r="141" spans="2:2" x14ac:dyDescent="0.25">
      <c r="B141" t="s">
        <v>1218</v>
      </c>
    </row>
    <row r="142" spans="2:2" x14ac:dyDescent="0.25">
      <c r="B142" t="s">
        <v>1217</v>
      </c>
    </row>
    <row r="143" spans="2:2" x14ac:dyDescent="0.25">
      <c r="B143" t="s">
        <v>1218</v>
      </c>
    </row>
    <row r="144" spans="2:2" x14ac:dyDescent="0.25">
      <c r="B144" t="s">
        <v>1217</v>
      </c>
    </row>
    <row r="145" spans="2:2" x14ac:dyDescent="0.25">
      <c r="B145" t="s">
        <v>1217</v>
      </c>
    </row>
    <row r="146" spans="2:2" x14ac:dyDescent="0.25">
      <c r="B146" t="s">
        <v>1217</v>
      </c>
    </row>
    <row r="147" spans="2:2" x14ac:dyDescent="0.25">
      <c r="B147" t="s">
        <v>1217</v>
      </c>
    </row>
    <row r="148" spans="2:2" x14ac:dyDescent="0.25">
      <c r="B148" t="s">
        <v>1217</v>
      </c>
    </row>
    <row r="149" spans="2:2" x14ac:dyDescent="0.25">
      <c r="B149" t="s">
        <v>1217</v>
      </c>
    </row>
    <row r="150" spans="2:2" x14ac:dyDescent="0.25">
      <c r="B150" t="s">
        <v>1217</v>
      </c>
    </row>
    <row r="151" spans="2:2" x14ac:dyDescent="0.25">
      <c r="B151" t="s">
        <v>1217</v>
      </c>
    </row>
    <row r="152" spans="2:2" x14ac:dyDescent="0.25">
      <c r="B152" t="s">
        <v>1217</v>
      </c>
    </row>
    <row r="153" spans="2:2" x14ac:dyDescent="0.25">
      <c r="B153" t="s">
        <v>1218</v>
      </c>
    </row>
    <row r="154" spans="2:2" x14ac:dyDescent="0.25">
      <c r="B154" t="s">
        <v>1217</v>
      </c>
    </row>
    <row r="155" spans="2:2" x14ac:dyDescent="0.25">
      <c r="B155" t="s">
        <v>1217</v>
      </c>
    </row>
    <row r="156" spans="2:2" x14ac:dyDescent="0.25">
      <c r="B156" t="s">
        <v>1217</v>
      </c>
    </row>
    <row r="157" spans="2:2" x14ac:dyDescent="0.25">
      <c r="B157" t="s">
        <v>1218</v>
      </c>
    </row>
    <row r="158" spans="2:2" x14ac:dyDescent="0.25">
      <c r="B158" t="s">
        <v>1218</v>
      </c>
    </row>
    <row r="159" spans="2:2" x14ac:dyDescent="0.25">
      <c r="B159" t="s">
        <v>1217</v>
      </c>
    </row>
    <row r="160" spans="2:2" x14ac:dyDescent="0.25">
      <c r="B160" t="s">
        <v>1217</v>
      </c>
    </row>
    <row r="161" spans="2:2" x14ac:dyDescent="0.25">
      <c r="B161" t="s">
        <v>1217</v>
      </c>
    </row>
    <row r="162" spans="2:2" x14ac:dyDescent="0.25">
      <c r="B162" t="s">
        <v>1217</v>
      </c>
    </row>
    <row r="163" spans="2:2" x14ac:dyDescent="0.25">
      <c r="B163" t="s">
        <v>1218</v>
      </c>
    </row>
    <row r="164" spans="2:2" x14ac:dyDescent="0.25">
      <c r="B164" t="s">
        <v>1217</v>
      </c>
    </row>
    <row r="165" spans="2:2" x14ac:dyDescent="0.25">
      <c r="B165" t="s">
        <v>1218</v>
      </c>
    </row>
    <row r="166" spans="2:2" x14ac:dyDescent="0.25">
      <c r="B166" t="s">
        <v>1217</v>
      </c>
    </row>
    <row r="167" spans="2:2" x14ac:dyDescent="0.25">
      <c r="B167" t="s">
        <v>1217</v>
      </c>
    </row>
    <row r="168" spans="2:2" x14ac:dyDescent="0.25">
      <c r="B168" t="s">
        <v>1217</v>
      </c>
    </row>
    <row r="169" spans="2:2" x14ac:dyDescent="0.25">
      <c r="B169" t="s">
        <v>1218</v>
      </c>
    </row>
    <row r="170" spans="2:2" x14ac:dyDescent="0.25">
      <c r="B170" t="s">
        <v>1217</v>
      </c>
    </row>
    <row r="171" spans="2:2" x14ac:dyDescent="0.25">
      <c r="B171" t="s">
        <v>1218</v>
      </c>
    </row>
    <row r="172" spans="2:2" x14ac:dyDescent="0.25">
      <c r="B172" t="s">
        <v>1217</v>
      </c>
    </row>
    <row r="173" spans="2:2" x14ac:dyDescent="0.25">
      <c r="B173" t="s">
        <v>1218</v>
      </c>
    </row>
    <row r="174" spans="2:2" x14ac:dyDescent="0.25">
      <c r="B174" t="s">
        <v>1218</v>
      </c>
    </row>
    <row r="175" spans="2:2" x14ac:dyDescent="0.25">
      <c r="B175" t="s">
        <v>1217</v>
      </c>
    </row>
    <row r="176" spans="2:2" x14ac:dyDescent="0.25">
      <c r="B176" t="s">
        <v>1218</v>
      </c>
    </row>
    <row r="177" spans="2:2" x14ac:dyDescent="0.25">
      <c r="B177" t="s">
        <v>1217</v>
      </c>
    </row>
    <row r="178" spans="2:2" x14ac:dyDescent="0.25">
      <c r="B178" t="s">
        <v>1217</v>
      </c>
    </row>
    <row r="179" spans="2:2" x14ac:dyDescent="0.25">
      <c r="B179" t="s">
        <v>1217</v>
      </c>
    </row>
    <row r="180" spans="2:2" x14ac:dyDescent="0.25">
      <c r="B180" t="s">
        <v>1217</v>
      </c>
    </row>
    <row r="181" spans="2:2" x14ac:dyDescent="0.25">
      <c r="B181" t="s">
        <v>1217</v>
      </c>
    </row>
    <row r="182" spans="2:2" x14ac:dyDescent="0.25">
      <c r="B182" t="s">
        <v>1217</v>
      </c>
    </row>
    <row r="183" spans="2:2" x14ac:dyDescent="0.25">
      <c r="B183" t="s">
        <v>1217</v>
      </c>
    </row>
    <row r="184" spans="2:2" x14ac:dyDescent="0.25">
      <c r="B184" t="s">
        <v>1217</v>
      </c>
    </row>
    <row r="185" spans="2:2" x14ac:dyDescent="0.25">
      <c r="B185" t="s">
        <v>1217</v>
      </c>
    </row>
    <row r="186" spans="2:2" x14ac:dyDescent="0.25">
      <c r="B186" t="s">
        <v>1217</v>
      </c>
    </row>
    <row r="187" spans="2:2" x14ac:dyDescent="0.25">
      <c r="B187" t="s">
        <v>1218</v>
      </c>
    </row>
    <row r="188" spans="2:2" x14ac:dyDescent="0.25">
      <c r="B188" t="s">
        <v>1217</v>
      </c>
    </row>
    <row r="189" spans="2:2" x14ac:dyDescent="0.25">
      <c r="B189" t="s">
        <v>1217</v>
      </c>
    </row>
    <row r="190" spans="2:2" x14ac:dyDescent="0.25">
      <c r="B190" t="s">
        <v>1217</v>
      </c>
    </row>
    <row r="191" spans="2:2" x14ac:dyDescent="0.25">
      <c r="B191" t="s">
        <v>1217</v>
      </c>
    </row>
    <row r="192" spans="2:2" x14ac:dyDescent="0.25">
      <c r="B192" t="s">
        <v>1217</v>
      </c>
    </row>
    <row r="193" spans="2:2" x14ac:dyDescent="0.25">
      <c r="B193" t="s">
        <v>1218</v>
      </c>
    </row>
    <row r="194" spans="2:2" x14ac:dyDescent="0.25">
      <c r="B194" t="s">
        <v>1217</v>
      </c>
    </row>
    <row r="195" spans="2:2" x14ac:dyDescent="0.25">
      <c r="B195" t="s">
        <v>1218</v>
      </c>
    </row>
    <row r="196" spans="2:2" x14ac:dyDescent="0.25">
      <c r="B196" t="s">
        <v>1217</v>
      </c>
    </row>
    <row r="197" spans="2:2" x14ac:dyDescent="0.25">
      <c r="B197" t="s">
        <v>1217</v>
      </c>
    </row>
    <row r="198" spans="2:2" x14ac:dyDescent="0.25">
      <c r="B198" t="s">
        <v>1217</v>
      </c>
    </row>
    <row r="199" spans="2:2" x14ac:dyDescent="0.25">
      <c r="B199" t="s">
        <v>1217</v>
      </c>
    </row>
    <row r="200" spans="2:2" x14ac:dyDescent="0.25">
      <c r="B200" t="s">
        <v>1218</v>
      </c>
    </row>
    <row r="201" spans="2:2" x14ac:dyDescent="0.25">
      <c r="B201" t="s">
        <v>1217</v>
      </c>
    </row>
    <row r="202" spans="2:2" x14ac:dyDescent="0.25">
      <c r="B202" t="s">
        <v>1218</v>
      </c>
    </row>
    <row r="203" spans="2:2" x14ac:dyDescent="0.25">
      <c r="B203" t="s">
        <v>1217</v>
      </c>
    </row>
    <row r="204" spans="2:2" x14ac:dyDescent="0.25">
      <c r="B204" t="s">
        <v>1217</v>
      </c>
    </row>
    <row r="205" spans="2:2" x14ac:dyDescent="0.25">
      <c r="B205" t="s">
        <v>1217</v>
      </c>
    </row>
    <row r="206" spans="2:2" x14ac:dyDescent="0.25">
      <c r="B206" t="s">
        <v>1217</v>
      </c>
    </row>
    <row r="207" spans="2:2" x14ac:dyDescent="0.25">
      <c r="B207" t="s">
        <v>1217</v>
      </c>
    </row>
    <row r="208" spans="2:2" x14ac:dyDescent="0.25">
      <c r="B208" t="s">
        <v>1218</v>
      </c>
    </row>
    <row r="209" spans="2:2" x14ac:dyDescent="0.25">
      <c r="B209" t="s">
        <v>1217</v>
      </c>
    </row>
    <row r="210" spans="2:2" x14ac:dyDescent="0.25">
      <c r="B210" t="s">
        <v>1217</v>
      </c>
    </row>
    <row r="211" spans="2:2" x14ac:dyDescent="0.25">
      <c r="B211" t="s">
        <v>1218</v>
      </c>
    </row>
    <row r="212" spans="2:2" x14ac:dyDescent="0.25">
      <c r="B212" t="s">
        <v>1218</v>
      </c>
    </row>
    <row r="213" spans="2:2" x14ac:dyDescent="0.25">
      <c r="B213" t="s">
        <v>1217</v>
      </c>
    </row>
    <row r="214" spans="2:2" x14ac:dyDescent="0.25">
      <c r="B214" t="s">
        <v>1217</v>
      </c>
    </row>
    <row r="215" spans="2:2" x14ac:dyDescent="0.25">
      <c r="B215" t="s">
        <v>1218</v>
      </c>
    </row>
    <row r="216" spans="2:2" x14ac:dyDescent="0.25">
      <c r="B216" t="s">
        <v>1217</v>
      </c>
    </row>
    <row r="217" spans="2:2" x14ac:dyDescent="0.25">
      <c r="B217" t="s">
        <v>1217</v>
      </c>
    </row>
    <row r="218" spans="2:2" x14ac:dyDescent="0.25">
      <c r="B218" t="s">
        <v>1217</v>
      </c>
    </row>
    <row r="219" spans="2:2" x14ac:dyDescent="0.25">
      <c r="B219" t="s">
        <v>1217</v>
      </c>
    </row>
    <row r="220" spans="2:2" x14ac:dyDescent="0.25">
      <c r="B220" t="s">
        <v>1217</v>
      </c>
    </row>
    <row r="221" spans="2:2" x14ac:dyDescent="0.25">
      <c r="B221" t="s">
        <v>1218</v>
      </c>
    </row>
    <row r="222" spans="2:2" x14ac:dyDescent="0.25">
      <c r="B222" t="s">
        <v>1218</v>
      </c>
    </row>
    <row r="223" spans="2:2" x14ac:dyDescent="0.25">
      <c r="B223" t="s">
        <v>1217</v>
      </c>
    </row>
    <row r="224" spans="2:2" x14ac:dyDescent="0.25">
      <c r="B224" t="s">
        <v>1217</v>
      </c>
    </row>
    <row r="225" spans="2:2" x14ac:dyDescent="0.25">
      <c r="B225" t="s">
        <v>1218</v>
      </c>
    </row>
    <row r="226" spans="2:2" x14ac:dyDescent="0.25">
      <c r="B226" t="s">
        <v>1217</v>
      </c>
    </row>
    <row r="227" spans="2:2" x14ac:dyDescent="0.25">
      <c r="B227" t="s">
        <v>1217</v>
      </c>
    </row>
    <row r="228" spans="2:2" x14ac:dyDescent="0.25">
      <c r="B228" t="s">
        <v>1218</v>
      </c>
    </row>
    <row r="229" spans="2:2" x14ac:dyDescent="0.25">
      <c r="B229" t="s">
        <v>1217</v>
      </c>
    </row>
    <row r="230" spans="2:2" x14ac:dyDescent="0.25">
      <c r="B230" t="s">
        <v>1217</v>
      </c>
    </row>
    <row r="231" spans="2:2" x14ac:dyDescent="0.25">
      <c r="B231" t="s">
        <v>1217</v>
      </c>
    </row>
    <row r="232" spans="2:2" x14ac:dyDescent="0.25">
      <c r="B232" t="s">
        <v>1218</v>
      </c>
    </row>
    <row r="233" spans="2:2" x14ac:dyDescent="0.25">
      <c r="B233" t="s">
        <v>1217</v>
      </c>
    </row>
    <row r="234" spans="2:2" x14ac:dyDescent="0.25">
      <c r="B234" t="s">
        <v>1218</v>
      </c>
    </row>
    <row r="235" spans="2:2" x14ac:dyDescent="0.25">
      <c r="B235" t="s">
        <v>1218</v>
      </c>
    </row>
    <row r="236" spans="2:2" x14ac:dyDescent="0.25">
      <c r="B236" t="s">
        <v>1217</v>
      </c>
    </row>
    <row r="237" spans="2:2" x14ac:dyDescent="0.25">
      <c r="B237" t="s">
        <v>1217</v>
      </c>
    </row>
    <row r="238" spans="2:2" x14ac:dyDescent="0.25">
      <c r="B238" t="s">
        <v>1218</v>
      </c>
    </row>
    <row r="239" spans="2:2" x14ac:dyDescent="0.25">
      <c r="B239" t="s">
        <v>1218</v>
      </c>
    </row>
    <row r="240" spans="2:2" x14ac:dyDescent="0.25">
      <c r="B240" t="s">
        <v>1217</v>
      </c>
    </row>
    <row r="241" spans="2:2" x14ac:dyDescent="0.25">
      <c r="B241" t="s">
        <v>1218</v>
      </c>
    </row>
    <row r="242" spans="2:2" x14ac:dyDescent="0.25">
      <c r="B242" t="s">
        <v>1218</v>
      </c>
    </row>
    <row r="243" spans="2:2" x14ac:dyDescent="0.25">
      <c r="B243" t="s">
        <v>1218</v>
      </c>
    </row>
    <row r="244" spans="2:2" x14ac:dyDescent="0.25">
      <c r="B244" t="s">
        <v>1217</v>
      </c>
    </row>
    <row r="245" spans="2:2" x14ac:dyDescent="0.25">
      <c r="B245" t="s">
        <v>1217</v>
      </c>
    </row>
    <row r="246" spans="2:2" x14ac:dyDescent="0.25">
      <c r="B246" t="s">
        <v>1218</v>
      </c>
    </row>
    <row r="247" spans="2:2" x14ac:dyDescent="0.25">
      <c r="B247" t="s">
        <v>1217</v>
      </c>
    </row>
    <row r="248" spans="2:2" x14ac:dyDescent="0.25">
      <c r="B248" t="s">
        <v>1217</v>
      </c>
    </row>
    <row r="249" spans="2:2" x14ac:dyDescent="0.25">
      <c r="B249" t="s">
        <v>1218</v>
      </c>
    </row>
    <row r="250" spans="2:2" x14ac:dyDescent="0.25">
      <c r="B250" t="s">
        <v>1218</v>
      </c>
    </row>
    <row r="251" spans="2:2" x14ac:dyDescent="0.25">
      <c r="B251" t="s">
        <v>1217</v>
      </c>
    </row>
    <row r="252" spans="2:2" x14ac:dyDescent="0.25">
      <c r="B252" t="s">
        <v>1217</v>
      </c>
    </row>
    <row r="253" spans="2:2" x14ac:dyDescent="0.25">
      <c r="B253" t="s">
        <v>1217</v>
      </c>
    </row>
    <row r="254" spans="2:2" x14ac:dyDescent="0.25">
      <c r="B254" t="s">
        <v>1217</v>
      </c>
    </row>
    <row r="255" spans="2:2" x14ac:dyDescent="0.25">
      <c r="B255" t="s">
        <v>1217</v>
      </c>
    </row>
    <row r="256" spans="2:2" x14ac:dyDescent="0.25">
      <c r="B256" t="s">
        <v>1218</v>
      </c>
    </row>
    <row r="257" spans="2:2" x14ac:dyDescent="0.25">
      <c r="B257" t="s">
        <v>1217</v>
      </c>
    </row>
    <row r="258" spans="2:2" x14ac:dyDescent="0.25">
      <c r="B258" t="s">
        <v>1218</v>
      </c>
    </row>
    <row r="259" spans="2:2" x14ac:dyDescent="0.25">
      <c r="B259" t="s">
        <v>1217</v>
      </c>
    </row>
    <row r="260" spans="2:2" x14ac:dyDescent="0.25">
      <c r="B260" t="s">
        <v>1217</v>
      </c>
    </row>
    <row r="261" spans="2:2" x14ac:dyDescent="0.25">
      <c r="B261" t="s">
        <v>1217</v>
      </c>
    </row>
    <row r="262" spans="2:2" x14ac:dyDescent="0.25">
      <c r="B262" t="s">
        <v>1217</v>
      </c>
    </row>
    <row r="263" spans="2:2" x14ac:dyDescent="0.25">
      <c r="B263" t="s">
        <v>1217</v>
      </c>
    </row>
    <row r="264" spans="2:2" x14ac:dyDescent="0.25">
      <c r="B264" t="s">
        <v>1217</v>
      </c>
    </row>
    <row r="265" spans="2:2" x14ac:dyDescent="0.25">
      <c r="B265" t="s">
        <v>1217</v>
      </c>
    </row>
    <row r="266" spans="2:2" x14ac:dyDescent="0.25">
      <c r="B266" t="s">
        <v>1218</v>
      </c>
    </row>
    <row r="267" spans="2:2" x14ac:dyDescent="0.25">
      <c r="B267" t="s">
        <v>1218</v>
      </c>
    </row>
    <row r="268" spans="2:2" x14ac:dyDescent="0.25">
      <c r="B268" t="s">
        <v>1217</v>
      </c>
    </row>
    <row r="269" spans="2:2" x14ac:dyDescent="0.25">
      <c r="B269" t="s">
        <v>1217</v>
      </c>
    </row>
    <row r="270" spans="2:2" x14ac:dyDescent="0.25">
      <c r="B270" t="s">
        <v>1217</v>
      </c>
    </row>
    <row r="271" spans="2:2" x14ac:dyDescent="0.25">
      <c r="B271" t="s">
        <v>1217</v>
      </c>
    </row>
    <row r="272" spans="2:2" x14ac:dyDescent="0.25">
      <c r="B272" t="s">
        <v>1218</v>
      </c>
    </row>
    <row r="273" spans="2:2" x14ac:dyDescent="0.25">
      <c r="B273" t="s">
        <v>1218</v>
      </c>
    </row>
    <row r="274" spans="2:2" x14ac:dyDescent="0.25">
      <c r="B274" t="s">
        <v>1217</v>
      </c>
    </row>
    <row r="275" spans="2:2" x14ac:dyDescent="0.25">
      <c r="B275" t="s">
        <v>1218</v>
      </c>
    </row>
    <row r="276" spans="2:2" x14ac:dyDescent="0.25">
      <c r="B276" t="s">
        <v>1217</v>
      </c>
    </row>
    <row r="277" spans="2:2" x14ac:dyDescent="0.25">
      <c r="B277" t="s">
        <v>1217</v>
      </c>
    </row>
    <row r="278" spans="2:2" x14ac:dyDescent="0.25">
      <c r="B278" t="s">
        <v>1217</v>
      </c>
    </row>
    <row r="279" spans="2:2" x14ac:dyDescent="0.25">
      <c r="B279" t="s">
        <v>1217</v>
      </c>
    </row>
    <row r="280" spans="2:2" x14ac:dyDescent="0.25">
      <c r="B280" t="s">
        <v>1217</v>
      </c>
    </row>
    <row r="281" spans="2:2" x14ac:dyDescent="0.25">
      <c r="B281" t="s">
        <v>1218</v>
      </c>
    </row>
    <row r="282" spans="2:2" x14ac:dyDescent="0.25">
      <c r="B282" t="s">
        <v>1218</v>
      </c>
    </row>
    <row r="283" spans="2:2" x14ac:dyDescent="0.25">
      <c r="B283" t="s">
        <v>1218</v>
      </c>
    </row>
    <row r="284" spans="2:2" x14ac:dyDescent="0.25">
      <c r="B284" t="s">
        <v>1217</v>
      </c>
    </row>
    <row r="285" spans="2:2" x14ac:dyDescent="0.25">
      <c r="B285" t="s">
        <v>1217</v>
      </c>
    </row>
    <row r="286" spans="2:2" x14ac:dyDescent="0.25">
      <c r="B286" t="s">
        <v>1218</v>
      </c>
    </row>
    <row r="287" spans="2:2" x14ac:dyDescent="0.25">
      <c r="B287" t="s">
        <v>1217</v>
      </c>
    </row>
    <row r="288" spans="2:2" x14ac:dyDescent="0.25">
      <c r="B288" t="s">
        <v>1217</v>
      </c>
    </row>
    <row r="289" spans="2:2" x14ac:dyDescent="0.25">
      <c r="B289" t="s">
        <v>1218</v>
      </c>
    </row>
    <row r="290" spans="2:2" x14ac:dyDescent="0.25">
      <c r="B290" t="s">
        <v>1217</v>
      </c>
    </row>
    <row r="291" spans="2:2" x14ac:dyDescent="0.25">
      <c r="B291" t="s">
        <v>1217</v>
      </c>
    </row>
    <row r="292" spans="2:2" x14ac:dyDescent="0.25">
      <c r="B292" t="s">
        <v>1218</v>
      </c>
    </row>
    <row r="293" spans="2:2" x14ac:dyDescent="0.25">
      <c r="B293" t="s">
        <v>1218</v>
      </c>
    </row>
    <row r="294" spans="2:2" x14ac:dyDescent="0.25">
      <c r="B294" t="s">
        <v>1217</v>
      </c>
    </row>
    <row r="295" spans="2:2" x14ac:dyDescent="0.25">
      <c r="B295" t="s">
        <v>1218</v>
      </c>
    </row>
    <row r="296" spans="2:2" x14ac:dyDescent="0.25">
      <c r="B296" t="s">
        <v>1217</v>
      </c>
    </row>
    <row r="297" spans="2:2" x14ac:dyDescent="0.25">
      <c r="B297" t="s">
        <v>1217</v>
      </c>
    </row>
    <row r="298" spans="2:2" x14ac:dyDescent="0.25">
      <c r="B298" t="s">
        <v>1217</v>
      </c>
    </row>
    <row r="299" spans="2:2" x14ac:dyDescent="0.25">
      <c r="B299" t="s">
        <v>1217</v>
      </c>
    </row>
    <row r="300" spans="2:2" x14ac:dyDescent="0.25">
      <c r="B300" t="s">
        <v>1217</v>
      </c>
    </row>
    <row r="301" spans="2:2" x14ac:dyDescent="0.25">
      <c r="B301" t="s">
        <v>1218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84EA7-6207-44DF-B30D-C2F27A7BC3D6}">
  <dimension ref="B1:C301"/>
  <sheetViews>
    <sheetView workbookViewId="0">
      <selection activeCell="J5" sqref="J5"/>
    </sheetView>
  </sheetViews>
  <sheetFormatPr defaultRowHeight="15" x14ac:dyDescent="0.25"/>
  <cols>
    <col min="2" max="2" width="23.28515625" bestFit="1" customWidth="1"/>
    <col min="3" max="3" width="16.85546875" bestFit="1" customWidth="1"/>
  </cols>
  <sheetData>
    <row r="1" spans="2:3" x14ac:dyDescent="0.25">
      <c r="B1" s="1" t="s">
        <v>11</v>
      </c>
      <c r="C1" s="1" t="s">
        <v>7</v>
      </c>
    </row>
    <row r="2" spans="2:3" x14ac:dyDescent="0.25">
      <c r="B2">
        <v>45</v>
      </c>
      <c r="C2">
        <v>50.7</v>
      </c>
    </row>
    <row r="3" spans="2:3" x14ac:dyDescent="0.25">
      <c r="B3">
        <v>45</v>
      </c>
      <c r="C3">
        <v>187.8</v>
      </c>
    </row>
    <row r="4" spans="2:3" x14ac:dyDescent="0.25">
      <c r="B4">
        <v>46</v>
      </c>
      <c r="C4">
        <v>96.2</v>
      </c>
    </row>
    <row r="5" spans="2:3" x14ac:dyDescent="0.25">
      <c r="B5">
        <v>48</v>
      </c>
      <c r="C5">
        <v>44.2</v>
      </c>
    </row>
    <row r="6" spans="2:3" x14ac:dyDescent="0.25">
      <c r="B6">
        <v>48</v>
      </c>
      <c r="C6">
        <v>48.4</v>
      </c>
    </row>
    <row r="7" spans="2:3" x14ac:dyDescent="0.25">
      <c r="B7">
        <v>49</v>
      </c>
      <c r="C7">
        <v>197.6</v>
      </c>
    </row>
    <row r="8" spans="2:3" x14ac:dyDescent="0.25">
      <c r="B8">
        <v>49</v>
      </c>
      <c r="C8">
        <v>211.3</v>
      </c>
    </row>
    <row r="9" spans="2:3" x14ac:dyDescent="0.25">
      <c r="B9">
        <v>51</v>
      </c>
      <c r="C9">
        <v>143</v>
      </c>
    </row>
    <row r="10" spans="2:3" x14ac:dyDescent="0.25">
      <c r="B10">
        <v>52</v>
      </c>
      <c r="C10">
        <v>151.4</v>
      </c>
    </row>
    <row r="11" spans="2:3" x14ac:dyDescent="0.25">
      <c r="B11">
        <v>53</v>
      </c>
      <c r="C11">
        <v>220.4</v>
      </c>
    </row>
    <row r="12" spans="2:3" x14ac:dyDescent="0.25">
      <c r="B12">
        <v>54</v>
      </c>
      <c r="C12">
        <v>158.80000000000001</v>
      </c>
    </row>
    <row r="13" spans="2:3" x14ac:dyDescent="0.25">
      <c r="B13">
        <v>56</v>
      </c>
      <c r="C13">
        <v>102</v>
      </c>
    </row>
    <row r="14" spans="2:3" x14ac:dyDescent="0.25">
      <c r="B14">
        <v>56</v>
      </c>
      <c r="C14">
        <v>15.6</v>
      </c>
    </row>
    <row r="15" spans="2:3" x14ac:dyDescent="0.25">
      <c r="B15">
        <v>57</v>
      </c>
      <c r="C15">
        <v>193.6</v>
      </c>
    </row>
    <row r="16" spans="2:3" x14ac:dyDescent="0.25">
      <c r="B16">
        <v>57</v>
      </c>
      <c r="C16">
        <v>152.30000000000001</v>
      </c>
    </row>
    <row r="17" spans="2:3" x14ac:dyDescent="0.25">
      <c r="B17">
        <v>57</v>
      </c>
      <c r="C17">
        <v>200.9</v>
      </c>
    </row>
    <row r="18" spans="2:3" x14ac:dyDescent="0.25">
      <c r="B18">
        <v>58</v>
      </c>
      <c r="C18">
        <v>221.3</v>
      </c>
    </row>
    <row r="19" spans="2:3" x14ac:dyDescent="0.25">
      <c r="B19">
        <v>58</v>
      </c>
      <c r="C19">
        <v>77.5</v>
      </c>
    </row>
    <row r="20" spans="2:3" x14ac:dyDescent="0.25">
      <c r="B20">
        <v>59</v>
      </c>
      <c r="C20">
        <v>223.8</v>
      </c>
    </row>
    <row r="21" spans="2:3" x14ac:dyDescent="0.25">
      <c r="B21">
        <v>60</v>
      </c>
      <c r="C21">
        <v>204.5</v>
      </c>
    </row>
    <row r="22" spans="2:3" x14ac:dyDescent="0.25">
      <c r="B22">
        <v>60</v>
      </c>
      <c r="C22">
        <v>237.1</v>
      </c>
    </row>
    <row r="23" spans="2:3" x14ac:dyDescent="0.25">
      <c r="B23">
        <v>60</v>
      </c>
      <c r="C23">
        <v>106.9</v>
      </c>
    </row>
    <row r="24" spans="2:3" x14ac:dyDescent="0.25">
      <c r="B24">
        <v>60</v>
      </c>
      <c r="C24">
        <v>61.8</v>
      </c>
    </row>
    <row r="25" spans="2:3" x14ac:dyDescent="0.25">
      <c r="B25">
        <v>60</v>
      </c>
      <c r="C25">
        <v>153.9</v>
      </c>
    </row>
    <row r="26" spans="2:3" x14ac:dyDescent="0.25">
      <c r="B26">
        <v>61</v>
      </c>
      <c r="C26">
        <v>173.8</v>
      </c>
    </row>
    <row r="27" spans="2:3" x14ac:dyDescent="0.25">
      <c r="B27">
        <v>61</v>
      </c>
      <c r="C27">
        <v>177.1</v>
      </c>
    </row>
    <row r="28" spans="2:3" x14ac:dyDescent="0.25">
      <c r="B28">
        <v>62</v>
      </c>
      <c r="C28">
        <v>197.6</v>
      </c>
    </row>
    <row r="29" spans="2:3" x14ac:dyDescent="0.25">
      <c r="B29">
        <v>62</v>
      </c>
      <c r="C29">
        <v>106.9</v>
      </c>
    </row>
    <row r="30" spans="2:3" x14ac:dyDescent="0.25">
      <c r="B30">
        <v>63</v>
      </c>
      <c r="C30">
        <v>210.1</v>
      </c>
    </row>
    <row r="31" spans="2:3" x14ac:dyDescent="0.25">
      <c r="B31">
        <v>64</v>
      </c>
      <c r="C31">
        <v>222.5</v>
      </c>
    </row>
    <row r="32" spans="2:3" x14ac:dyDescent="0.25">
      <c r="B32">
        <v>66</v>
      </c>
      <c r="C32">
        <v>220.3</v>
      </c>
    </row>
    <row r="33" spans="2:3" x14ac:dyDescent="0.25">
      <c r="B33">
        <v>67</v>
      </c>
      <c r="C33">
        <v>31.9</v>
      </c>
    </row>
    <row r="34" spans="2:3" x14ac:dyDescent="0.25">
      <c r="B34">
        <v>68</v>
      </c>
      <c r="C34">
        <v>33.299999999999997</v>
      </c>
    </row>
    <row r="35" spans="2:3" x14ac:dyDescent="0.25">
      <c r="B35">
        <v>68</v>
      </c>
      <c r="C35">
        <v>208.7</v>
      </c>
    </row>
    <row r="36" spans="2:3" x14ac:dyDescent="0.25">
      <c r="B36">
        <v>68</v>
      </c>
      <c r="C36">
        <v>243.7</v>
      </c>
    </row>
    <row r="37" spans="2:3" x14ac:dyDescent="0.25">
      <c r="B37">
        <v>70</v>
      </c>
      <c r="C37">
        <v>159</v>
      </c>
    </row>
    <row r="38" spans="2:3" x14ac:dyDescent="0.25">
      <c r="B38">
        <v>71</v>
      </c>
      <c r="C38">
        <v>238.2</v>
      </c>
    </row>
    <row r="39" spans="2:3" x14ac:dyDescent="0.25">
      <c r="B39">
        <v>71</v>
      </c>
      <c r="C39">
        <v>198.4</v>
      </c>
    </row>
    <row r="40" spans="2:3" x14ac:dyDescent="0.25">
      <c r="B40">
        <v>71</v>
      </c>
      <c r="C40">
        <v>124.8</v>
      </c>
    </row>
    <row r="41" spans="2:3" x14ac:dyDescent="0.25">
      <c r="B41">
        <v>72</v>
      </c>
      <c r="C41">
        <v>186</v>
      </c>
    </row>
    <row r="42" spans="2:3" x14ac:dyDescent="0.25">
      <c r="B42">
        <v>72</v>
      </c>
      <c r="C42">
        <v>179.7</v>
      </c>
    </row>
    <row r="43" spans="2:3" x14ac:dyDescent="0.25">
      <c r="B43">
        <v>73</v>
      </c>
      <c r="C43">
        <v>85.8</v>
      </c>
    </row>
    <row r="44" spans="2:3" x14ac:dyDescent="0.25">
      <c r="B44">
        <v>73</v>
      </c>
      <c r="C44">
        <v>57.5</v>
      </c>
    </row>
    <row r="45" spans="2:3" x14ac:dyDescent="0.25">
      <c r="B45">
        <v>74</v>
      </c>
      <c r="C45">
        <v>207.6</v>
      </c>
    </row>
    <row r="46" spans="2:3" x14ac:dyDescent="0.25">
      <c r="B46">
        <v>74</v>
      </c>
      <c r="C46">
        <v>36.299999999999997</v>
      </c>
    </row>
    <row r="47" spans="2:3" x14ac:dyDescent="0.25">
      <c r="B47">
        <v>74</v>
      </c>
      <c r="C47">
        <v>219</v>
      </c>
    </row>
    <row r="48" spans="2:3" x14ac:dyDescent="0.25">
      <c r="B48">
        <v>75</v>
      </c>
      <c r="C48">
        <v>143.1</v>
      </c>
    </row>
    <row r="49" spans="2:3" x14ac:dyDescent="0.25">
      <c r="B49">
        <v>80</v>
      </c>
      <c r="C49">
        <v>163.5</v>
      </c>
    </row>
    <row r="50" spans="2:3" x14ac:dyDescent="0.25">
      <c r="B50">
        <v>80</v>
      </c>
      <c r="C50">
        <v>13.9</v>
      </c>
    </row>
    <row r="51" spans="2:3" x14ac:dyDescent="0.25">
      <c r="B51">
        <v>80</v>
      </c>
      <c r="C51">
        <v>227.8</v>
      </c>
    </row>
    <row r="52" spans="2:3" x14ac:dyDescent="0.25">
      <c r="B52">
        <v>81</v>
      </c>
      <c r="C52">
        <v>167.2</v>
      </c>
    </row>
    <row r="53" spans="2:3" x14ac:dyDescent="0.25">
      <c r="B53">
        <v>81</v>
      </c>
      <c r="C53">
        <v>93.1</v>
      </c>
    </row>
    <row r="54" spans="2:3" x14ac:dyDescent="0.25">
      <c r="B54">
        <v>82</v>
      </c>
      <c r="C54">
        <v>28.6</v>
      </c>
    </row>
    <row r="55" spans="2:3" x14ac:dyDescent="0.25">
      <c r="B55">
        <v>82</v>
      </c>
      <c r="C55">
        <v>164.4</v>
      </c>
    </row>
    <row r="56" spans="2:3" x14ac:dyDescent="0.25">
      <c r="B56">
        <v>82</v>
      </c>
      <c r="C56">
        <v>204.7</v>
      </c>
    </row>
    <row r="57" spans="2:3" x14ac:dyDescent="0.25">
      <c r="B57">
        <v>82</v>
      </c>
      <c r="C57">
        <v>99.1</v>
      </c>
    </row>
    <row r="58" spans="2:3" x14ac:dyDescent="0.25">
      <c r="B58">
        <v>83</v>
      </c>
      <c r="C58">
        <v>195</v>
      </c>
    </row>
    <row r="59" spans="2:3" x14ac:dyDescent="0.25">
      <c r="B59">
        <v>84</v>
      </c>
      <c r="C59">
        <v>119.3</v>
      </c>
    </row>
    <row r="60" spans="2:3" x14ac:dyDescent="0.25">
      <c r="B60">
        <v>84</v>
      </c>
      <c r="C60">
        <v>17.7</v>
      </c>
    </row>
    <row r="61" spans="2:3" x14ac:dyDescent="0.25">
      <c r="B61">
        <v>85</v>
      </c>
      <c r="C61">
        <v>21.8</v>
      </c>
    </row>
    <row r="62" spans="2:3" x14ac:dyDescent="0.25">
      <c r="B62">
        <v>85</v>
      </c>
      <c r="C62">
        <v>110.5</v>
      </c>
    </row>
    <row r="63" spans="2:3" x14ac:dyDescent="0.25">
      <c r="B63">
        <v>85</v>
      </c>
      <c r="C63">
        <v>134.30000000000001</v>
      </c>
    </row>
    <row r="64" spans="2:3" x14ac:dyDescent="0.25">
      <c r="B64">
        <v>86</v>
      </c>
      <c r="C64">
        <v>208.1</v>
      </c>
    </row>
    <row r="65" spans="2:3" x14ac:dyDescent="0.25">
      <c r="B65">
        <v>87</v>
      </c>
      <c r="C65">
        <v>36.799999999999997</v>
      </c>
    </row>
    <row r="66" spans="2:3" x14ac:dyDescent="0.25">
      <c r="B66">
        <v>87</v>
      </c>
      <c r="C66">
        <v>224</v>
      </c>
    </row>
    <row r="67" spans="2:3" x14ac:dyDescent="0.25">
      <c r="B67">
        <v>87</v>
      </c>
      <c r="C67">
        <v>124.2</v>
      </c>
    </row>
    <row r="68" spans="2:3" x14ac:dyDescent="0.25">
      <c r="B68">
        <v>88</v>
      </c>
      <c r="C68">
        <v>18.899999999999999</v>
      </c>
    </row>
    <row r="69" spans="2:3" x14ac:dyDescent="0.25">
      <c r="B69">
        <v>88</v>
      </c>
      <c r="C69">
        <v>131.9</v>
      </c>
    </row>
    <row r="70" spans="2:3" x14ac:dyDescent="0.25">
      <c r="B70">
        <v>89</v>
      </c>
      <c r="C70">
        <v>105.4</v>
      </c>
    </row>
    <row r="71" spans="2:3" x14ac:dyDescent="0.25">
      <c r="B71">
        <v>89</v>
      </c>
      <c r="C71">
        <v>19.3</v>
      </c>
    </row>
    <row r="72" spans="2:3" x14ac:dyDescent="0.25">
      <c r="B72">
        <v>91</v>
      </c>
      <c r="C72">
        <v>118.2</v>
      </c>
    </row>
    <row r="73" spans="2:3" x14ac:dyDescent="0.25">
      <c r="B73">
        <v>91</v>
      </c>
      <c r="C73">
        <v>110.5</v>
      </c>
    </row>
    <row r="74" spans="2:3" x14ac:dyDescent="0.25">
      <c r="B74">
        <v>91</v>
      </c>
      <c r="C74">
        <v>231.1</v>
      </c>
    </row>
    <row r="75" spans="2:3" x14ac:dyDescent="0.25">
      <c r="B75">
        <v>91</v>
      </c>
      <c r="C75">
        <v>83.3</v>
      </c>
    </row>
    <row r="76" spans="2:3" x14ac:dyDescent="0.25">
      <c r="B76">
        <v>91</v>
      </c>
      <c r="C76">
        <v>74.099999999999994</v>
      </c>
    </row>
    <row r="77" spans="2:3" x14ac:dyDescent="0.25">
      <c r="B77">
        <v>92</v>
      </c>
      <c r="C77">
        <v>138.30000000000001</v>
      </c>
    </row>
    <row r="78" spans="2:3" x14ac:dyDescent="0.25">
      <c r="B78">
        <v>92</v>
      </c>
      <c r="C78">
        <v>170.5</v>
      </c>
    </row>
    <row r="79" spans="2:3" x14ac:dyDescent="0.25">
      <c r="B79">
        <v>92</v>
      </c>
      <c r="C79">
        <v>109.7</v>
      </c>
    </row>
    <row r="80" spans="2:3" x14ac:dyDescent="0.25">
      <c r="B80">
        <v>93</v>
      </c>
      <c r="C80">
        <v>195.9</v>
      </c>
    </row>
    <row r="81" spans="2:3" x14ac:dyDescent="0.25">
      <c r="B81">
        <v>93</v>
      </c>
      <c r="C81">
        <v>164.7</v>
      </c>
    </row>
    <row r="82" spans="2:3" x14ac:dyDescent="0.25">
      <c r="B82">
        <v>93</v>
      </c>
      <c r="C82">
        <v>37.299999999999997</v>
      </c>
    </row>
    <row r="83" spans="2:3" x14ac:dyDescent="0.25">
      <c r="B83">
        <v>93</v>
      </c>
      <c r="C83">
        <v>148.19999999999999</v>
      </c>
    </row>
    <row r="84" spans="2:3" x14ac:dyDescent="0.25">
      <c r="B84">
        <v>94</v>
      </c>
      <c r="C84">
        <v>142.69999999999999</v>
      </c>
    </row>
    <row r="85" spans="2:3" x14ac:dyDescent="0.25">
      <c r="B85">
        <v>94</v>
      </c>
      <c r="C85">
        <v>218.7</v>
      </c>
    </row>
    <row r="86" spans="2:3" x14ac:dyDescent="0.25">
      <c r="B86">
        <v>95</v>
      </c>
      <c r="C86">
        <v>209</v>
      </c>
    </row>
    <row r="87" spans="2:3" x14ac:dyDescent="0.25">
      <c r="B87">
        <v>97</v>
      </c>
      <c r="C87">
        <v>183</v>
      </c>
    </row>
    <row r="88" spans="2:3" x14ac:dyDescent="0.25">
      <c r="B88">
        <v>97</v>
      </c>
      <c r="C88">
        <v>179.3</v>
      </c>
    </row>
    <row r="89" spans="2:3" x14ac:dyDescent="0.25">
      <c r="B89">
        <v>101</v>
      </c>
      <c r="C89">
        <v>164.1</v>
      </c>
    </row>
    <row r="90" spans="2:3" x14ac:dyDescent="0.25">
      <c r="B90">
        <v>102</v>
      </c>
      <c r="C90">
        <v>146</v>
      </c>
    </row>
    <row r="91" spans="2:3" x14ac:dyDescent="0.25">
      <c r="B91">
        <v>102</v>
      </c>
      <c r="C91">
        <v>133.69999999999999</v>
      </c>
    </row>
    <row r="92" spans="2:3" x14ac:dyDescent="0.25">
      <c r="B92">
        <v>105</v>
      </c>
      <c r="C92">
        <v>81.7</v>
      </c>
    </row>
    <row r="93" spans="2:3" x14ac:dyDescent="0.25">
      <c r="B93">
        <v>105</v>
      </c>
      <c r="C93">
        <v>198.6</v>
      </c>
    </row>
    <row r="94" spans="2:3" x14ac:dyDescent="0.25">
      <c r="B94">
        <v>105</v>
      </c>
      <c r="C94">
        <v>25.6</v>
      </c>
    </row>
    <row r="95" spans="2:3" x14ac:dyDescent="0.25">
      <c r="B95">
        <v>108</v>
      </c>
      <c r="C95">
        <v>84.6</v>
      </c>
    </row>
    <row r="96" spans="2:3" x14ac:dyDescent="0.25">
      <c r="B96">
        <v>108</v>
      </c>
      <c r="C96">
        <v>103</v>
      </c>
    </row>
    <row r="97" spans="2:3" x14ac:dyDescent="0.25">
      <c r="B97">
        <v>109</v>
      </c>
      <c r="C97">
        <v>234.6</v>
      </c>
    </row>
    <row r="98" spans="2:3" x14ac:dyDescent="0.25">
      <c r="B98">
        <v>109</v>
      </c>
      <c r="C98">
        <v>93.3</v>
      </c>
    </row>
    <row r="99" spans="2:3" x14ac:dyDescent="0.25">
      <c r="B99">
        <v>109</v>
      </c>
      <c r="C99">
        <v>121.5</v>
      </c>
    </row>
    <row r="100" spans="2:3" x14ac:dyDescent="0.25">
      <c r="B100">
        <v>110</v>
      </c>
      <c r="C100">
        <v>133.30000000000001</v>
      </c>
    </row>
    <row r="101" spans="2:3" x14ac:dyDescent="0.25">
      <c r="B101">
        <v>111</v>
      </c>
      <c r="C101">
        <v>211.6</v>
      </c>
    </row>
    <row r="102" spans="2:3" x14ac:dyDescent="0.25">
      <c r="B102">
        <v>111</v>
      </c>
      <c r="C102">
        <v>101.3</v>
      </c>
    </row>
    <row r="103" spans="2:3" x14ac:dyDescent="0.25">
      <c r="B103">
        <v>112</v>
      </c>
      <c r="C103">
        <v>42.7</v>
      </c>
    </row>
    <row r="104" spans="2:3" x14ac:dyDescent="0.25">
      <c r="B104">
        <v>112</v>
      </c>
      <c r="C104">
        <v>227.4</v>
      </c>
    </row>
    <row r="105" spans="2:3" x14ac:dyDescent="0.25">
      <c r="B105">
        <v>113</v>
      </c>
      <c r="C105">
        <v>179.2</v>
      </c>
    </row>
    <row r="106" spans="2:3" x14ac:dyDescent="0.25">
      <c r="B106">
        <v>113</v>
      </c>
      <c r="C106">
        <v>206.7</v>
      </c>
    </row>
    <row r="107" spans="2:3" x14ac:dyDescent="0.25">
      <c r="B107">
        <v>114</v>
      </c>
      <c r="C107">
        <v>80.5</v>
      </c>
    </row>
    <row r="108" spans="2:3" x14ac:dyDescent="0.25">
      <c r="B108">
        <v>115</v>
      </c>
      <c r="C108">
        <v>119.8</v>
      </c>
    </row>
    <row r="109" spans="2:3" x14ac:dyDescent="0.25">
      <c r="B109">
        <v>115</v>
      </c>
      <c r="C109">
        <v>10.3</v>
      </c>
    </row>
    <row r="110" spans="2:3" x14ac:dyDescent="0.25">
      <c r="B110">
        <v>115</v>
      </c>
      <c r="C110">
        <v>81.599999999999994</v>
      </c>
    </row>
    <row r="111" spans="2:3" x14ac:dyDescent="0.25">
      <c r="B111">
        <v>115</v>
      </c>
      <c r="C111">
        <v>139.5</v>
      </c>
    </row>
    <row r="112" spans="2:3" x14ac:dyDescent="0.25">
      <c r="B112">
        <v>115</v>
      </c>
      <c r="C112">
        <v>150.19999999999999</v>
      </c>
    </row>
    <row r="113" spans="2:3" x14ac:dyDescent="0.25">
      <c r="B113">
        <v>115</v>
      </c>
      <c r="C113">
        <v>134.6</v>
      </c>
    </row>
    <row r="114" spans="2:3" x14ac:dyDescent="0.25">
      <c r="B114">
        <v>116</v>
      </c>
      <c r="C114">
        <v>119</v>
      </c>
    </row>
    <row r="115" spans="2:3" x14ac:dyDescent="0.25">
      <c r="B115">
        <v>116</v>
      </c>
      <c r="C115">
        <v>30.6</v>
      </c>
    </row>
    <row r="116" spans="2:3" x14ac:dyDescent="0.25">
      <c r="B116">
        <v>118</v>
      </c>
      <c r="C116">
        <v>209.4</v>
      </c>
    </row>
    <row r="117" spans="2:3" x14ac:dyDescent="0.25">
      <c r="B117">
        <v>118</v>
      </c>
      <c r="C117">
        <v>194</v>
      </c>
    </row>
    <row r="118" spans="2:3" x14ac:dyDescent="0.25">
      <c r="B118">
        <v>118</v>
      </c>
      <c r="C118">
        <v>198.9</v>
      </c>
    </row>
    <row r="119" spans="2:3" x14ac:dyDescent="0.25">
      <c r="B119">
        <v>118</v>
      </c>
      <c r="C119">
        <v>136.30000000000001</v>
      </c>
    </row>
    <row r="120" spans="2:3" x14ac:dyDescent="0.25">
      <c r="B120">
        <v>119</v>
      </c>
      <c r="C120">
        <v>186.5</v>
      </c>
    </row>
    <row r="121" spans="2:3" x14ac:dyDescent="0.25">
      <c r="B121">
        <v>119</v>
      </c>
      <c r="C121">
        <v>154.9</v>
      </c>
    </row>
    <row r="122" spans="2:3" x14ac:dyDescent="0.25">
      <c r="B122">
        <v>119</v>
      </c>
      <c r="C122">
        <v>85</v>
      </c>
    </row>
    <row r="123" spans="2:3" x14ac:dyDescent="0.25">
      <c r="B123">
        <v>122</v>
      </c>
      <c r="C123">
        <v>120</v>
      </c>
    </row>
    <row r="124" spans="2:3" x14ac:dyDescent="0.25">
      <c r="B124">
        <v>122</v>
      </c>
      <c r="C124">
        <v>18.399999999999999</v>
      </c>
    </row>
    <row r="125" spans="2:3" x14ac:dyDescent="0.25">
      <c r="B125">
        <v>122</v>
      </c>
      <c r="C125">
        <v>155.4</v>
      </c>
    </row>
    <row r="126" spans="2:3" x14ac:dyDescent="0.25">
      <c r="B126">
        <v>123</v>
      </c>
      <c r="C126">
        <v>88.4</v>
      </c>
    </row>
    <row r="127" spans="2:3" x14ac:dyDescent="0.25">
      <c r="B127">
        <v>123</v>
      </c>
      <c r="C127">
        <v>142.9</v>
      </c>
    </row>
    <row r="128" spans="2:3" x14ac:dyDescent="0.25">
      <c r="B128">
        <v>123</v>
      </c>
      <c r="C128">
        <v>226.9</v>
      </c>
    </row>
    <row r="129" spans="2:3" x14ac:dyDescent="0.25">
      <c r="B129">
        <v>125</v>
      </c>
      <c r="C129">
        <v>92.9</v>
      </c>
    </row>
    <row r="130" spans="2:3" x14ac:dyDescent="0.25">
      <c r="B130">
        <v>126</v>
      </c>
      <c r="C130">
        <v>73.5</v>
      </c>
    </row>
    <row r="131" spans="2:3" x14ac:dyDescent="0.25">
      <c r="B131">
        <v>126</v>
      </c>
      <c r="C131">
        <v>74.099999999999994</v>
      </c>
    </row>
    <row r="132" spans="2:3" x14ac:dyDescent="0.25">
      <c r="B132">
        <v>127</v>
      </c>
      <c r="C132">
        <v>150.5</v>
      </c>
    </row>
    <row r="133" spans="2:3" x14ac:dyDescent="0.25">
      <c r="B133">
        <v>128</v>
      </c>
      <c r="C133">
        <v>64.2</v>
      </c>
    </row>
    <row r="134" spans="2:3" x14ac:dyDescent="0.25">
      <c r="B134">
        <v>128</v>
      </c>
      <c r="C134">
        <v>108.5</v>
      </c>
    </row>
    <row r="135" spans="2:3" x14ac:dyDescent="0.25">
      <c r="B135">
        <v>128</v>
      </c>
      <c r="C135">
        <v>22.1</v>
      </c>
    </row>
    <row r="136" spans="2:3" x14ac:dyDescent="0.25">
      <c r="B136">
        <v>128</v>
      </c>
      <c r="C136">
        <v>52.9</v>
      </c>
    </row>
    <row r="137" spans="2:3" x14ac:dyDescent="0.25">
      <c r="B137">
        <v>130</v>
      </c>
      <c r="C137">
        <v>137.80000000000001</v>
      </c>
    </row>
    <row r="138" spans="2:3" x14ac:dyDescent="0.25">
      <c r="B138">
        <v>132</v>
      </c>
      <c r="C138">
        <v>204.9</v>
      </c>
    </row>
    <row r="139" spans="2:3" x14ac:dyDescent="0.25">
      <c r="B139">
        <v>133</v>
      </c>
      <c r="C139">
        <v>241</v>
      </c>
    </row>
    <row r="140" spans="2:3" x14ac:dyDescent="0.25">
      <c r="B140">
        <v>134</v>
      </c>
      <c r="C140">
        <v>239</v>
      </c>
    </row>
    <row r="141" spans="2:3" x14ac:dyDescent="0.25">
      <c r="B141">
        <v>136</v>
      </c>
      <c r="C141">
        <v>159.5</v>
      </c>
    </row>
    <row r="142" spans="2:3" x14ac:dyDescent="0.25">
      <c r="B142">
        <v>136</v>
      </c>
      <c r="C142">
        <v>194.3</v>
      </c>
    </row>
    <row r="143" spans="2:3" x14ac:dyDescent="0.25">
      <c r="B143">
        <v>137</v>
      </c>
      <c r="C143">
        <v>107.4</v>
      </c>
    </row>
    <row r="144" spans="2:3" x14ac:dyDescent="0.25">
      <c r="B144">
        <v>139</v>
      </c>
      <c r="C144">
        <v>148.69999999999999</v>
      </c>
    </row>
    <row r="145" spans="2:3" x14ac:dyDescent="0.25">
      <c r="B145">
        <v>139</v>
      </c>
      <c r="C145">
        <v>146.69999999999999</v>
      </c>
    </row>
    <row r="146" spans="2:3" x14ac:dyDescent="0.25">
      <c r="B146">
        <v>140</v>
      </c>
      <c r="C146">
        <v>40.200000000000003</v>
      </c>
    </row>
    <row r="147" spans="2:3" x14ac:dyDescent="0.25">
      <c r="B147">
        <v>141</v>
      </c>
      <c r="C147">
        <v>154.1</v>
      </c>
    </row>
    <row r="148" spans="2:3" x14ac:dyDescent="0.25">
      <c r="B148">
        <v>142</v>
      </c>
      <c r="C148">
        <v>98.3</v>
      </c>
    </row>
    <row r="149" spans="2:3" x14ac:dyDescent="0.25">
      <c r="B149">
        <v>143</v>
      </c>
      <c r="C149">
        <v>236.9</v>
      </c>
    </row>
    <row r="150" spans="2:3" x14ac:dyDescent="0.25">
      <c r="B150">
        <v>143</v>
      </c>
      <c r="C150">
        <v>46.4</v>
      </c>
    </row>
    <row r="151" spans="2:3" x14ac:dyDescent="0.25">
      <c r="B151">
        <v>143</v>
      </c>
      <c r="C151">
        <v>34.200000000000003</v>
      </c>
    </row>
    <row r="152" spans="2:3" x14ac:dyDescent="0.25">
      <c r="B152">
        <v>144</v>
      </c>
      <c r="C152">
        <v>153.1</v>
      </c>
    </row>
    <row r="153" spans="2:3" x14ac:dyDescent="0.25">
      <c r="B153">
        <v>146</v>
      </c>
      <c r="C153">
        <v>166.5</v>
      </c>
    </row>
    <row r="154" spans="2:3" x14ac:dyDescent="0.25">
      <c r="B154">
        <v>147</v>
      </c>
      <c r="C154">
        <v>61.4</v>
      </c>
    </row>
    <row r="155" spans="2:3" x14ac:dyDescent="0.25">
      <c r="B155">
        <v>147</v>
      </c>
      <c r="C155">
        <v>145.5</v>
      </c>
    </row>
    <row r="156" spans="2:3" x14ac:dyDescent="0.25">
      <c r="B156">
        <v>147</v>
      </c>
      <c r="C156">
        <v>135</v>
      </c>
    </row>
    <row r="157" spans="2:3" x14ac:dyDescent="0.25">
      <c r="B157">
        <v>147</v>
      </c>
      <c r="C157">
        <v>217.8</v>
      </c>
    </row>
    <row r="158" spans="2:3" x14ac:dyDescent="0.25">
      <c r="B158">
        <v>147</v>
      </c>
      <c r="C158">
        <v>46.7</v>
      </c>
    </row>
    <row r="159" spans="2:3" x14ac:dyDescent="0.25">
      <c r="B159">
        <v>147</v>
      </c>
      <c r="C159">
        <v>31</v>
      </c>
    </row>
    <row r="160" spans="2:3" x14ac:dyDescent="0.25">
      <c r="B160">
        <v>147</v>
      </c>
      <c r="C160">
        <v>19.100000000000001</v>
      </c>
    </row>
    <row r="161" spans="2:3" x14ac:dyDescent="0.25">
      <c r="B161">
        <v>148</v>
      </c>
      <c r="C161">
        <v>120.9</v>
      </c>
    </row>
    <row r="162" spans="2:3" x14ac:dyDescent="0.25">
      <c r="B162">
        <v>148</v>
      </c>
      <c r="C162">
        <v>239.2</v>
      </c>
    </row>
    <row r="163" spans="2:3" x14ac:dyDescent="0.25">
      <c r="B163">
        <v>150</v>
      </c>
      <c r="C163">
        <v>146.4</v>
      </c>
    </row>
    <row r="164" spans="2:3" x14ac:dyDescent="0.25">
      <c r="B164">
        <v>151</v>
      </c>
      <c r="C164">
        <v>127.6</v>
      </c>
    </row>
    <row r="165" spans="2:3" x14ac:dyDescent="0.25">
      <c r="B165">
        <v>151</v>
      </c>
      <c r="C165">
        <v>113.2</v>
      </c>
    </row>
    <row r="166" spans="2:3" x14ac:dyDescent="0.25">
      <c r="B166">
        <v>152</v>
      </c>
      <c r="C166">
        <v>66.5</v>
      </c>
    </row>
    <row r="167" spans="2:3" x14ac:dyDescent="0.25">
      <c r="B167">
        <v>154</v>
      </c>
      <c r="C167">
        <v>145.9</v>
      </c>
    </row>
    <row r="168" spans="2:3" x14ac:dyDescent="0.25">
      <c r="B168">
        <v>154</v>
      </c>
      <c r="C168">
        <v>25.7</v>
      </c>
    </row>
    <row r="169" spans="2:3" x14ac:dyDescent="0.25">
      <c r="B169">
        <v>154</v>
      </c>
      <c r="C169">
        <v>238.2</v>
      </c>
    </row>
    <row r="170" spans="2:3" x14ac:dyDescent="0.25">
      <c r="B170">
        <v>155</v>
      </c>
      <c r="C170">
        <v>124.1</v>
      </c>
    </row>
    <row r="171" spans="2:3" x14ac:dyDescent="0.25">
      <c r="B171">
        <v>156</v>
      </c>
      <c r="C171">
        <v>124</v>
      </c>
    </row>
    <row r="172" spans="2:3" x14ac:dyDescent="0.25">
      <c r="B172">
        <v>157</v>
      </c>
      <c r="C172">
        <v>36.4</v>
      </c>
    </row>
    <row r="173" spans="2:3" x14ac:dyDescent="0.25">
      <c r="B173">
        <v>158</v>
      </c>
      <c r="C173">
        <v>76</v>
      </c>
    </row>
    <row r="174" spans="2:3" x14ac:dyDescent="0.25">
      <c r="B174">
        <v>159</v>
      </c>
      <c r="C174">
        <v>130.1</v>
      </c>
    </row>
    <row r="175" spans="2:3" x14ac:dyDescent="0.25">
      <c r="B175">
        <v>159</v>
      </c>
      <c r="C175">
        <v>31.9</v>
      </c>
    </row>
    <row r="176" spans="2:3" x14ac:dyDescent="0.25">
      <c r="B176">
        <v>159</v>
      </c>
      <c r="C176">
        <v>198.9</v>
      </c>
    </row>
    <row r="177" spans="2:3" x14ac:dyDescent="0.25">
      <c r="B177">
        <v>161</v>
      </c>
      <c r="C177">
        <v>173</v>
      </c>
    </row>
    <row r="178" spans="2:3" x14ac:dyDescent="0.25">
      <c r="B178">
        <v>161</v>
      </c>
      <c r="C178">
        <v>217.8</v>
      </c>
    </row>
    <row r="179" spans="2:3" x14ac:dyDescent="0.25">
      <c r="B179">
        <v>162</v>
      </c>
      <c r="C179">
        <v>141.5</v>
      </c>
    </row>
    <row r="180" spans="2:3" x14ac:dyDescent="0.25">
      <c r="B180">
        <v>162</v>
      </c>
      <c r="C180">
        <v>80.2</v>
      </c>
    </row>
    <row r="181" spans="2:3" x14ac:dyDescent="0.25">
      <c r="B181">
        <v>164</v>
      </c>
      <c r="C181">
        <v>94.6</v>
      </c>
    </row>
    <row r="182" spans="2:3" x14ac:dyDescent="0.25">
      <c r="B182">
        <v>165</v>
      </c>
      <c r="C182">
        <v>93</v>
      </c>
    </row>
    <row r="183" spans="2:3" x14ac:dyDescent="0.25">
      <c r="B183">
        <v>165</v>
      </c>
      <c r="C183">
        <v>28.2</v>
      </c>
    </row>
    <row r="184" spans="2:3" x14ac:dyDescent="0.25">
      <c r="B184">
        <v>165</v>
      </c>
      <c r="C184">
        <v>125.5</v>
      </c>
    </row>
    <row r="185" spans="2:3" x14ac:dyDescent="0.25">
      <c r="B185">
        <v>166</v>
      </c>
      <c r="C185">
        <v>166.9</v>
      </c>
    </row>
    <row r="186" spans="2:3" x14ac:dyDescent="0.25">
      <c r="B186">
        <v>168</v>
      </c>
      <c r="C186">
        <v>162.6</v>
      </c>
    </row>
    <row r="187" spans="2:3" x14ac:dyDescent="0.25">
      <c r="B187">
        <v>169</v>
      </c>
      <c r="C187">
        <v>120.7</v>
      </c>
    </row>
    <row r="188" spans="2:3" x14ac:dyDescent="0.25">
      <c r="B188">
        <v>170</v>
      </c>
      <c r="C188">
        <v>237.1</v>
      </c>
    </row>
    <row r="189" spans="2:3" x14ac:dyDescent="0.25">
      <c r="B189">
        <v>170</v>
      </c>
      <c r="C189">
        <v>210.5</v>
      </c>
    </row>
    <row r="190" spans="2:3" x14ac:dyDescent="0.25">
      <c r="B190">
        <v>171</v>
      </c>
      <c r="C190">
        <v>233.4</v>
      </c>
    </row>
    <row r="191" spans="2:3" x14ac:dyDescent="0.25">
      <c r="B191">
        <v>171</v>
      </c>
      <c r="C191">
        <v>82.1</v>
      </c>
    </row>
    <row r="192" spans="2:3" x14ac:dyDescent="0.25">
      <c r="B192">
        <v>172</v>
      </c>
      <c r="C192">
        <v>175</v>
      </c>
    </row>
    <row r="193" spans="2:3" x14ac:dyDescent="0.25">
      <c r="B193">
        <v>173</v>
      </c>
      <c r="C193">
        <v>92.2</v>
      </c>
    </row>
    <row r="194" spans="2:3" x14ac:dyDescent="0.25">
      <c r="B194">
        <v>173</v>
      </c>
      <c r="C194">
        <v>235.5</v>
      </c>
    </row>
    <row r="195" spans="2:3" x14ac:dyDescent="0.25">
      <c r="B195">
        <v>174</v>
      </c>
      <c r="C195">
        <v>97.4</v>
      </c>
    </row>
    <row r="196" spans="2:3" x14ac:dyDescent="0.25">
      <c r="B196">
        <v>174</v>
      </c>
      <c r="C196">
        <v>57.1</v>
      </c>
    </row>
    <row r="197" spans="2:3" x14ac:dyDescent="0.25">
      <c r="B197">
        <v>175</v>
      </c>
      <c r="C197">
        <v>179.8</v>
      </c>
    </row>
    <row r="198" spans="2:3" x14ac:dyDescent="0.25">
      <c r="B198">
        <v>175</v>
      </c>
      <c r="C198">
        <v>81.5</v>
      </c>
    </row>
    <row r="199" spans="2:3" x14ac:dyDescent="0.25">
      <c r="B199">
        <v>176</v>
      </c>
      <c r="C199">
        <v>135.69999999999999</v>
      </c>
    </row>
    <row r="200" spans="2:3" x14ac:dyDescent="0.25">
      <c r="B200">
        <v>176</v>
      </c>
      <c r="C200">
        <v>201.6</v>
      </c>
    </row>
    <row r="201" spans="2:3" x14ac:dyDescent="0.25">
      <c r="B201">
        <v>177</v>
      </c>
      <c r="C201">
        <v>88.1</v>
      </c>
    </row>
    <row r="202" spans="2:3" x14ac:dyDescent="0.25">
      <c r="B202">
        <v>177</v>
      </c>
      <c r="C202">
        <v>58.4</v>
      </c>
    </row>
    <row r="203" spans="2:3" x14ac:dyDescent="0.25">
      <c r="B203">
        <v>177</v>
      </c>
      <c r="C203">
        <v>125.3</v>
      </c>
    </row>
    <row r="204" spans="2:3" x14ac:dyDescent="0.25">
      <c r="B204">
        <v>178</v>
      </c>
      <c r="C204">
        <v>24</v>
      </c>
    </row>
    <row r="205" spans="2:3" x14ac:dyDescent="0.25">
      <c r="B205">
        <v>179</v>
      </c>
      <c r="C205">
        <v>173.9</v>
      </c>
    </row>
    <row r="206" spans="2:3" x14ac:dyDescent="0.25">
      <c r="B206">
        <v>180</v>
      </c>
      <c r="C206">
        <v>134.4</v>
      </c>
    </row>
    <row r="207" spans="2:3" x14ac:dyDescent="0.25">
      <c r="B207">
        <v>180</v>
      </c>
      <c r="C207">
        <v>67.3</v>
      </c>
    </row>
    <row r="208" spans="2:3" x14ac:dyDescent="0.25">
      <c r="B208">
        <v>181</v>
      </c>
      <c r="C208">
        <v>110</v>
      </c>
    </row>
    <row r="209" spans="2:3" x14ac:dyDescent="0.25">
      <c r="B209">
        <v>181</v>
      </c>
      <c r="C209">
        <v>168.6</v>
      </c>
    </row>
    <row r="210" spans="2:3" x14ac:dyDescent="0.25">
      <c r="B210">
        <v>181</v>
      </c>
      <c r="C210">
        <v>133.80000000000001</v>
      </c>
    </row>
    <row r="211" spans="2:3" x14ac:dyDescent="0.25">
      <c r="B211">
        <v>181</v>
      </c>
      <c r="C211">
        <v>184.6</v>
      </c>
    </row>
    <row r="212" spans="2:3" x14ac:dyDescent="0.25">
      <c r="B212">
        <v>182</v>
      </c>
      <c r="C212">
        <v>227.3</v>
      </c>
    </row>
    <row r="213" spans="2:3" x14ac:dyDescent="0.25">
      <c r="B213">
        <v>182</v>
      </c>
      <c r="C213">
        <v>74.7</v>
      </c>
    </row>
    <row r="214" spans="2:3" x14ac:dyDescent="0.25">
      <c r="B214">
        <v>183</v>
      </c>
      <c r="C214">
        <v>92.2</v>
      </c>
    </row>
    <row r="215" spans="2:3" x14ac:dyDescent="0.25">
      <c r="B215">
        <v>183</v>
      </c>
      <c r="C215">
        <v>197.6</v>
      </c>
    </row>
    <row r="216" spans="2:3" x14ac:dyDescent="0.25">
      <c r="B216">
        <v>183</v>
      </c>
      <c r="C216">
        <v>10.9</v>
      </c>
    </row>
    <row r="217" spans="2:3" x14ac:dyDescent="0.25">
      <c r="B217">
        <v>184</v>
      </c>
      <c r="C217">
        <v>145.30000000000001</v>
      </c>
    </row>
    <row r="218" spans="2:3" x14ac:dyDescent="0.25">
      <c r="B218">
        <v>184</v>
      </c>
      <c r="C218">
        <v>220.7</v>
      </c>
    </row>
    <row r="219" spans="2:3" x14ac:dyDescent="0.25">
      <c r="B219">
        <v>185</v>
      </c>
      <c r="C219">
        <v>196.2</v>
      </c>
    </row>
    <row r="220" spans="2:3" x14ac:dyDescent="0.25">
      <c r="B220">
        <v>186</v>
      </c>
      <c r="C220">
        <v>233.3</v>
      </c>
    </row>
    <row r="221" spans="2:3" x14ac:dyDescent="0.25">
      <c r="B221">
        <v>186</v>
      </c>
      <c r="C221">
        <v>208.6</v>
      </c>
    </row>
    <row r="222" spans="2:3" x14ac:dyDescent="0.25">
      <c r="B222">
        <v>186</v>
      </c>
      <c r="C222">
        <v>43.3</v>
      </c>
    </row>
    <row r="223" spans="2:3" x14ac:dyDescent="0.25">
      <c r="B223">
        <v>188</v>
      </c>
      <c r="C223">
        <v>44.7</v>
      </c>
    </row>
    <row r="224" spans="2:3" x14ac:dyDescent="0.25">
      <c r="B224">
        <v>190</v>
      </c>
      <c r="C224">
        <v>229.9</v>
      </c>
    </row>
    <row r="225" spans="2:3" x14ac:dyDescent="0.25">
      <c r="B225">
        <v>191</v>
      </c>
      <c r="C225">
        <v>19.100000000000001</v>
      </c>
    </row>
    <row r="226" spans="2:3" x14ac:dyDescent="0.25">
      <c r="B226">
        <v>191</v>
      </c>
      <c r="C226">
        <v>229.8</v>
      </c>
    </row>
    <row r="227" spans="2:3" x14ac:dyDescent="0.25">
      <c r="B227">
        <v>191</v>
      </c>
      <c r="C227">
        <v>94</v>
      </c>
    </row>
    <row r="228" spans="2:3" x14ac:dyDescent="0.25">
      <c r="B228">
        <v>191</v>
      </c>
      <c r="C228">
        <v>210.9</v>
      </c>
    </row>
    <row r="229" spans="2:3" x14ac:dyDescent="0.25">
      <c r="B229">
        <v>192</v>
      </c>
      <c r="C229">
        <v>144.4</v>
      </c>
    </row>
    <row r="230" spans="2:3" x14ac:dyDescent="0.25">
      <c r="B230">
        <v>192</v>
      </c>
      <c r="C230">
        <v>127.1</v>
      </c>
    </row>
    <row r="231" spans="2:3" x14ac:dyDescent="0.25">
      <c r="B231">
        <v>193</v>
      </c>
      <c r="C231">
        <v>201.6</v>
      </c>
    </row>
    <row r="232" spans="2:3" x14ac:dyDescent="0.25">
      <c r="B232">
        <v>193</v>
      </c>
      <c r="C232">
        <v>226.8</v>
      </c>
    </row>
    <row r="233" spans="2:3" x14ac:dyDescent="0.25">
      <c r="B233">
        <v>194</v>
      </c>
      <c r="C233">
        <v>163</v>
      </c>
    </row>
    <row r="234" spans="2:3" x14ac:dyDescent="0.25">
      <c r="B234">
        <v>195</v>
      </c>
      <c r="C234">
        <v>225.3</v>
      </c>
    </row>
    <row r="235" spans="2:3" x14ac:dyDescent="0.25">
      <c r="B235">
        <v>195</v>
      </c>
      <c r="C235">
        <v>194.6</v>
      </c>
    </row>
    <row r="236" spans="2:3" x14ac:dyDescent="0.25">
      <c r="B236">
        <v>196</v>
      </c>
      <c r="C236">
        <v>215.4</v>
      </c>
    </row>
    <row r="237" spans="2:3" x14ac:dyDescent="0.25">
      <c r="B237">
        <v>196</v>
      </c>
      <c r="C237">
        <v>67.900000000000006</v>
      </c>
    </row>
    <row r="238" spans="2:3" x14ac:dyDescent="0.25">
      <c r="B238">
        <v>196</v>
      </c>
      <c r="C238">
        <v>35</v>
      </c>
    </row>
    <row r="239" spans="2:3" x14ac:dyDescent="0.25">
      <c r="B239">
        <v>197</v>
      </c>
      <c r="C239">
        <v>242.4</v>
      </c>
    </row>
    <row r="240" spans="2:3" x14ac:dyDescent="0.25">
      <c r="B240">
        <v>197</v>
      </c>
      <c r="C240">
        <v>155.1</v>
      </c>
    </row>
    <row r="241" spans="2:3" x14ac:dyDescent="0.25">
      <c r="B241">
        <v>199</v>
      </c>
      <c r="C241">
        <v>214.1</v>
      </c>
    </row>
    <row r="242" spans="2:3" x14ac:dyDescent="0.25">
      <c r="B242">
        <v>200</v>
      </c>
      <c r="C242">
        <v>236.8</v>
      </c>
    </row>
    <row r="243" spans="2:3" x14ac:dyDescent="0.25">
      <c r="B243">
        <v>200</v>
      </c>
      <c r="C243">
        <v>42.9</v>
      </c>
    </row>
    <row r="244" spans="2:3" x14ac:dyDescent="0.25">
      <c r="B244">
        <v>200</v>
      </c>
      <c r="C244">
        <v>42.5</v>
      </c>
    </row>
    <row r="245" spans="2:3" x14ac:dyDescent="0.25">
      <c r="B245">
        <v>201</v>
      </c>
      <c r="C245">
        <v>48.8</v>
      </c>
    </row>
    <row r="246" spans="2:3" x14ac:dyDescent="0.25">
      <c r="B246">
        <v>202</v>
      </c>
      <c r="C246">
        <v>133.9</v>
      </c>
    </row>
    <row r="247" spans="2:3" x14ac:dyDescent="0.25">
      <c r="B247">
        <v>202</v>
      </c>
      <c r="C247">
        <v>165.9</v>
      </c>
    </row>
    <row r="248" spans="2:3" x14ac:dyDescent="0.25">
      <c r="B248">
        <v>203</v>
      </c>
      <c r="C248">
        <v>36.6</v>
      </c>
    </row>
    <row r="249" spans="2:3" x14ac:dyDescent="0.25">
      <c r="B249">
        <v>203</v>
      </c>
      <c r="C249">
        <v>189.2</v>
      </c>
    </row>
    <row r="250" spans="2:3" x14ac:dyDescent="0.25">
      <c r="B250">
        <v>203</v>
      </c>
      <c r="C250">
        <v>16.600000000000001</v>
      </c>
    </row>
    <row r="251" spans="2:3" x14ac:dyDescent="0.25">
      <c r="B251">
        <v>205</v>
      </c>
      <c r="C251">
        <v>146</v>
      </c>
    </row>
    <row r="252" spans="2:3" x14ac:dyDescent="0.25">
      <c r="B252">
        <v>205</v>
      </c>
      <c r="C252">
        <v>13.5</v>
      </c>
    </row>
    <row r="253" spans="2:3" x14ac:dyDescent="0.25">
      <c r="B253">
        <v>205</v>
      </c>
      <c r="C253">
        <v>159.80000000000001</v>
      </c>
    </row>
    <row r="254" spans="2:3" x14ac:dyDescent="0.25">
      <c r="B254">
        <v>205</v>
      </c>
      <c r="C254">
        <v>30.2</v>
      </c>
    </row>
    <row r="255" spans="2:3" x14ac:dyDescent="0.25">
      <c r="B255">
        <v>205</v>
      </c>
      <c r="C255">
        <v>13.8</v>
      </c>
    </row>
    <row r="256" spans="2:3" x14ac:dyDescent="0.25">
      <c r="B256">
        <v>206</v>
      </c>
      <c r="C256">
        <v>232.5</v>
      </c>
    </row>
    <row r="257" spans="2:3" x14ac:dyDescent="0.25">
      <c r="B257">
        <v>207</v>
      </c>
      <c r="C257">
        <v>87.3</v>
      </c>
    </row>
    <row r="258" spans="2:3" x14ac:dyDescent="0.25">
      <c r="B258">
        <v>209</v>
      </c>
      <c r="C258">
        <v>229</v>
      </c>
    </row>
    <row r="259" spans="2:3" x14ac:dyDescent="0.25">
      <c r="B259">
        <v>209</v>
      </c>
      <c r="C259">
        <v>245.9</v>
      </c>
    </row>
    <row r="260" spans="2:3" x14ac:dyDescent="0.25">
      <c r="B260">
        <v>210</v>
      </c>
      <c r="C260">
        <v>122.9</v>
      </c>
    </row>
    <row r="261" spans="2:3" x14ac:dyDescent="0.25">
      <c r="B261">
        <v>211</v>
      </c>
      <c r="C261">
        <v>188.1</v>
      </c>
    </row>
    <row r="262" spans="2:3" x14ac:dyDescent="0.25">
      <c r="B262">
        <v>211</v>
      </c>
      <c r="C262">
        <v>48.8</v>
      </c>
    </row>
    <row r="263" spans="2:3" x14ac:dyDescent="0.25">
      <c r="B263">
        <v>212</v>
      </c>
      <c r="C263">
        <v>36.700000000000003</v>
      </c>
    </row>
    <row r="264" spans="2:3" x14ac:dyDescent="0.25">
      <c r="B264">
        <v>212</v>
      </c>
      <c r="C264">
        <v>126.8</v>
      </c>
    </row>
    <row r="265" spans="2:3" x14ac:dyDescent="0.25">
      <c r="B265">
        <v>212</v>
      </c>
      <c r="C265">
        <v>121.3</v>
      </c>
    </row>
    <row r="266" spans="2:3" x14ac:dyDescent="0.25">
      <c r="B266">
        <v>212</v>
      </c>
      <c r="C266">
        <v>123</v>
      </c>
    </row>
    <row r="267" spans="2:3" x14ac:dyDescent="0.25">
      <c r="B267">
        <v>213</v>
      </c>
      <c r="C267">
        <v>182.3</v>
      </c>
    </row>
    <row r="268" spans="2:3" x14ac:dyDescent="0.25">
      <c r="B268">
        <v>213</v>
      </c>
      <c r="C268">
        <v>38.299999999999997</v>
      </c>
    </row>
    <row r="269" spans="2:3" x14ac:dyDescent="0.25">
      <c r="B269">
        <v>214</v>
      </c>
      <c r="C269">
        <v>30.3</v>
      </c>
    </row>
    <row r="270" spans="2:3" x14ac:dyDescent="0.25">
      <c r="B270">
        <v>215</v>
      </c>
      <c r="C270">
        <v>27.8</v>
      </c>
    </row>
    <row r="271" spans="2:3" x14ac:dyDescent="0.25">
      <c r="B271">
        <v>216</v>
      </c>
      <c r="C271">
        <v>25.7</v>
      </c>
    </row>
    <row r="272" spans="2:3" x14ac:dyDescent="0.25">
      <c r="B272">
        <v>217</v>
      </c>
      <c r="C272">
        <v>227.2</v>
      </c>
    </row>
    <row r="273" spans="2:3" x14ac:dyDescent="0.25">
      <c r="B273">
        <v>217</v>
      </c>
      <c r="C273">
        <v>85.8</v>
      </c>
    </row>
    <row r="274" spans="2:3" x14ac:dyDescent="0.25">
      <c r="B274">
        <v>218</v>
      </c>
      <c r="C274">
        <v>202.1</v>
      </c>
    </row>
    <row r="275" spans="2:3" x14ac:dyDescent="0.25">
      <c r="B275">
        <v>220</v>
      </c>
      <c r="C275">
        <v>223.3</v>
      </c>
    </row>
    <row r="276" spans="2:3" x14ac:dyDescent="0.25">
      <c r="B276">
        <v>221</v>
      </c>
      <c r="C276">
        <v>30.7</v>
      </c>
    </row>
    <row r="277" spans="2:3" x14ac:dyDescent="0.25">
      <c r="B277">
        <v>221</v>
      </c>
      <c r="C277">
        <v>107.5</v>
      </c>
    </row>
    <row r="278" spans="2:3" x14ac:dyDescent="0.25">
      <c r="B278">
        <v>221</v>
      </c>
      <c r="C278">
        <v>181.9</v>
      </c>
    </row>
    <row r="279" spans="2:3" x14ac:dyDescent="0.25">
      <c r="B279">
        <v>222</v>
      </c>
      <c r="C279">
        <v>134.30000000000001</v>
      </c>
    </row>
    <row r="280" spans="2:3" x14ac:dyDescent="0.25">
      <c r="B280">
        <v>224</v>
      </c>
      <c r="C280">
        <v>129.5</v>
      </c>
    </row>
    <row r="281" spans="2:3" x14ac:dyDescent="0.25">
      <c r="B281">
        <v>225</v>
      </c>
      <c r="C281">
        <v>46.7</v>
      </c>
    </row>
    <row r="282" spans="2:3" x14ac:dyDescent="0.25">
      <c r="B282">
        <v>226</v>
      </c>
      <c r="C282">
        <v>137.6</v>
      </c>
    </row>
    <row r="283" spans="2:3" x14ac:dyDescent="0.25">
      <c r="B283">
        <v>227</v>
      </c>
      <c r="C283">
        <v>181.3</v>
      </c>
    </row>
    <row r="284" spans="2:3" x14ac:dyDescent="0.25">
      <c r="B284">
        <v>228</v>
      </c>
      <c r="C284">
        <v>212.8</v>
      </c>
    </row>
    <row r="285" spans="2:3" x14ac:dyDescent="0.25">
      <c r="B285">
        <v>228</v>
      </c>
      <c r="C285">
        <v>24</v>
      </c>
    </row>
    <row r="286" spans="2:3" x14ac:dyDescent="0.25">
      <c r="B286">
        <v>229</v>
      </c>
      <c r="C286">
        <v>203.8</v>
      </c>
    </row>
    <row r="287" spans="2:3" x14ac:dyDescent="0.25">
      <c r="B287">
        <v>229</v>
      </c>
      <c r="C287">
        <v>91.8</v>
      </c>
    </row>
    <row r="288" spans="2:3" x14ac:dyDescent="0.25">
      <c r="B288">
        <v>231</v>
      </c>
      <c r="C288">
        <v>32.799999999999997</v>
      </c>
    </row>
    <row r="289" spans="2:3" x14ac:dyDescent="0.25">
      <c r="B289">
        <v>232</v>
      </c>
      <c r="C289">
        <v>234.6</v>
      </c>
    </row>
    <row r="290" spans="2:3" x14ac:dyDescent="0.25">
      <c r="B290">
        <v>232</v>
      </c>
      <c r="C290">
        <v>18.2</v>
      </c>
    </row>
    <row r="291" spans="2:3" x14ac:dyDescent="0.25">
      <c r="B291">
        <v>232</v>
      </c>
      <c r="C291">
        <v>78.2</v>
      </c>
    </row>
    <row r="292" spans="2:3" x14ac:dyDescent="0.25">
      <c r="B292">
        <v>232</v>
      </c>
      <c r="C292">
        <v>94.9</v>
      </c>
    </row>
    <row r="293" spans="2:3" x14ac:dyDescent="0.25">
      <c r="B293">
        <v>234</v>
      </c>
      <c r="C293">
        <v>15.1</v>
      </c>
    </row>
    <row r="294" spans="2:3" x14ac:dyDescent="0.25">
      <c r="B294">
        <v>236</v>
      </c>
      <c r="C294">
        <v>90</v>
      </c>
    </row>
    <row r="295" spans="2:3" x14ac:dyDescent="0.25">
      <c r="B295">
        <v>237</v>
      </c>
      <c r="C295">
        <v>64.7</v>
      </c>
    </row>
    <row r="296" spans="2:3" x14ac:dyDescent="0.25">
      <c r="B296">
        <v>237</v>
      </c>
      <c r="C296">
        <v>156.6</v>
      </c>
    </row>
    <row r="297" spans="2:3" x14ac:dyDescent="0.25">
      <c r="B297">
        <v>239</v>
      </c>
      <c r="C297">
        <v>93.8</v>
      </c>
    </row>
    <row r="298" spans="2:3" x14ac:dyDescent="0.25">
      <c r="B298">
        <v>239</v>
      </c>
      <c r="C298">
        <v>230</v>
      </c>
    </row>
    <row r="299" spans="2:3" x14ac:dyDescent="0.25">
      <c r="B299">
        <v>239</v>
      </c>
      <c r="C299">
        <v>163.9</v>
      </c>
    </row>
    <row r="300" spans="2:3" x14ac:dyDescent="0.25">
      <c r="B300">
        <v>240</v>
      </c>
      <c r="C300">
        <v>224.1</v>
      </c>
    </row>
    <row r="301" spans="2:3" x14ac:dyDescent="0.25">
      <c r="B301">
        <v>240</v>
      </c>
      <c r="C301">
        <v>237.3</v>
      </c>
    </row>
  </sheetData>
  <autoFilter ref="B1:C301" xr:uid="{CFC84EA7-6207-44DF-B30D-C2F27A7BC3D6}">
    <sortState xmlns:xlrd2="http://schemas.microsoft.com/office/spreadsheetml/2017/richdata2" ref="B2:C301">
      <sortCondition ref="B1:B30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Heatmap of Delay Levels</vt:lpstr>
      <vt:lpstr>Vehicle Utilisation Chart</vt:lpstr>
      <vt:lpstr>Cost vs Distance Line Graph</vt:lpstr>
      <vt:lpstr>Delivery Delays by Weather Type</vt:lpstr>
      <vt:lpstr>Fuel Consumption per Kilometre </vt:lpstr>
      <vt:lpstr>On-Time vs Delayed Deliveries</vt:lpstr>
      <vt:lpstr>Delivery Time vs Distance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H.D.D.S. Senadheera</cp:lastModifiedBy>
  <dcterms:created xsi:type="dcterms:W3CDTF">2025-10-29T18:02:51Z</dcterms:created>
  <dcterms:modified xsi:type="dcterms:W3CDTF">2025-12-10T19:00:41Z</dcterms:modified>
</cp:coreProperties>
</file>